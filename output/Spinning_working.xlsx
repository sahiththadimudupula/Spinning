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elspungroup-my.sharepoint.com/personal/sahith_thadimudupula_welspun_com/Documents/Desktop/spinning_git/Spinning/output/"/>
    </mc:Choice>
  </mc:AlternateContent>
  <xr:revisionPtr revIDLastSave="2" documentId="13_ncr:1_{A27A5A94-B1FD-49F2-9F70-8465DE6A863E}" xr6:coauthVersionLast="47" xr6:coauthVersionMax="47" xr10:uidLastSave="{56933B42-5AE6-4DC6-97FF-74D6146AA73F}"/>
  <bookViews>
    <workbookView xWindow="-96" yWindow="-96" windowWidth="23232" windowHeight="12432" xr2:uid="{00000000-000D-0000-FFFF-FFFF00000000}"/>
  </bookViews>
  <sheets>
    <sheet name="Spinning" sheetId="1" r:id="rId1"/>
    <sheet name="TFO" sheetId="2" r:id="rId2"/>
  </sheets>
  <definedNames>
    <definedName name="_xlnm._FilterDatabase" localSheetId="0" hidden="1">Spinning!$A$1:$T$117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3" i="2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03" i="1"/>
  <c r="T3" i="2" l="1"/>
  <c r="N19" i="2"/>
  <c r="N2" i="2"/>
  <c r="T19" i="2" l="1"/>
  <c r="V19" i="2" s="1"/>
  <c r="K19" i="2"/>
  <c r="I19" i="2"/>
  <c r="P19" i="2" s="1"/>
  <c r="T18" i="2"/>
  <c r="V18" i="2" s="1"/>
  <c r="X18" i="2" s="1"/>
  <c r="K18" i="2"/>
  <c r="I18" i="2"/>
  <c r="N18" i="2" s="1"/>
  <c r="P18" i="2" s="1"/>
  <c r="T17" i="2"/>
  <c r="V17" i="2" s="1"/>
  <c r="X17" i="2" s="1"/>
  <c r="K17" i="2"/>
  <c r="I17" i="2"/>
  <c r="N17" i="2" s="1"/>
  <c r="P17" i="2" s="1"/>
  <c r="T16" i="2"/>
  <c r="V16" i="2" s="1"/>
  <c r="X16" i="2" s="1"/>
  <c r="K16" i="2"/>
  <c r="I16" i="2"/>
  <c r="N16" i="2" s="1"/>
  <c r="P16" i="2" s="1"/>
  <c r="T15" i="2"/>
  <c r="V15" i="2" s="1"/>
  <c r="X15" i="2" s="1"/>
  <c r="K15" i="2"/>
  <c r="I15" i="2"/>
  <c r="N15" i="2" s="1"/>
  <c r="P15" i="2" s="1"/>
  <c r="T14" i="2"/>
  <c r="V14" i="2" s="1"/>
  <c r="X14" i="2" s="1"/>
  <c r="K14" i="2"/>
  <c r="I14" i="2"/>
  <c r="N14" i="2" s="1"/>
  <c r="P14" i="2" s="1"/>
  <c r="T13" i="2"/>
  <c r="V13" i="2" s="1"/>
  <c r="X13" i="2" s="1"/>
  <c r="K13" i="2"/>
  <c r="I13" i="2"/>
  <c r="N13" i="2" s="1"/>
  <c r="P13" i="2" s="1"/>
  <c r="T12" i="2"/>
  <c r="V12" i="2" s="1"/>
  <c r="X12" i="2" s="1"/>
  <c r="K12" i="2"/>
  <c r="I12" i="2"/>
  <c r="N12" i="2" s="1"/>
  <c r="P12" i="2" s="1"/>
  <c r="T11" i="2"/>
  <c r="V11" i="2" s="1"/>
  <c r="X11" i="2" s="1"/>
  <c r="K11" i="2"/>
  <c r="I11" i="2"/>
  <c r="N11" i="2" s="1"/>
  <c r="P11" i="2" s="1"/>
  <c r="T10" i="2"/>
  <c r="V10" i="2" s="1"/>
  <c r="X10" i="2" s="1"/>
  <c r="K10" i="2"/>
  <c r="I10" i="2"/>
  <c r="N10" i="2" s="1"/>
  <c r="P10" i="2" s="1"/>
  <c r="T9" i="2"/>
  <c r="V9" i="2" s="1"/>
  <c r="X9" i="2" s="1"/>
  <c r="K9" i="2"/>
  <c r="I9" i="2"/>
  <c r="N9" i="2" s="1"/>
  <c r="P9" i="2" s="1"/>
  <c r="T8" i="2"/>
  <c r="V8" i="2" s="1"/>
  <c r="X8" i="2" s="1"/>
  <c r="K8" i="2"/>
  <c r="I8" i="2"/>
  <c r="N8" i="2" s="1"/>
  <c r="P8" i="2" s="1"/>
  <c r="T7" i="2"/>
  <c r="V7" i="2" s="1"/>
  <c r="X7" i="2" s="1"/>
  <c r="K7" i="2"/>
  <c r="I7" i="2"/>
  <c r="N7" i="2" s="1"/>
  <c r="P7" i="2" s="1"/>
  <c r="T6" i="2"/>
  <c r="V6" i="2" s="1"/>
  <c r="X6" i="2" s="1"/>
  <c r="K6" i="2"/>
  <c r="I6" i="2"/>
  <c r="N6" i="2" s="1"/>
  <c r="P6" i="2" s="1"/>
  <c r="T5" i="2"/>
  <c r="V5" i="2" s="1"/>
  <c r="X5" i="2" s="1"/>
  <c r="K5" i="2"/>
  <c r="I5" i="2"/>
  <c r="N5" i="2" s="1"/>
  <c r="P5" i="2" s="1"/>
  <c r="T4" i="2"/>
  <c r="V4" i="2" s="1"/>
  <c r="X4" i="2" s="1"/>
  <c r="K4" i="2"/>
  <c r="I4" i="2"/>
  <c r="N4" i="2" s="1"/>
  <c r="P4" i="2" s="1"/>
  <c r="X3" i="2"/>
  <c r="K3" i="2"/>
  <c r="I3" i="2"/>
  <c r="N3" i="2" s="1"/>
  <c r="P3" i="2" s="1"/>
  <c r="T2" i="2"/>
  <c r="V2" i="2" s="1"/>
  <c r="K2" i="2"/>
  <c r="I2" i="2"/>
  <c r="P2" i="2" s="1"/>
  <c r="X2" i="2" l="1"/>
  <c r="X19" i="2"/>
</calcChain>
</file>

<file path=xl/sharedStrings.xml><?xml version="1.0" encoding="utf-8"?>
<sst xmlns="http://schemas.openxmlformats.org/spreadsheetml/2006/main" count="953" uniqueCount="286">
  <si>
    <t>Location</t>
  </si>
  <si>
    <t>Business</t>
  </si>
  <si>
    <t>Sr_No</t>
  </si>
  <si>
    <t>Designation</t>
  </si>
  <si>
    <t>Machine_Count</t>
  </si>
  <si>
    <t>General_Shift</t>
  </si>
  <si>
    <t>Shift_A</t>
  </si>
  <si>
    <t>Shift_B</t>
  </si>
  <si>
    <t>Shift_C</t>
  </si>
  <si>
    <t>Reliever</t>
  </si>
  <si>
    <t>Remarks</t>
  </si>
  <si>
    <t>Vapi</t>
  </si>
  <si>
    <t>Spinning</t>
  </si>
  <si>
    <t>PREPARATORY</t>
  </si>
  <si>
    <t>Blow Room (Incl. line 7 &amp; 8)</t>
  </si>
  <si>
    <t>Operator</t>
  </si>
  <si>
    <t>Carding Ring Spinning</t>
  </si>
  <si>
    <t>Carding Open End</t>
  </si>
  <si>
    <t>Breaker Draw Frames</t>
  </si>
  <si>
    <t>Levelling Del</t>
  </si>
  <si>
    <t>Unilap</t>
  </si>
  <si>
    <t>Combers</t>
  </si>
  <si>
    <t>Finisher Draw Frames</t>
  </si>
  <si>
    <t>Open End Finisher Draw Frames</t>
  </si>
  <si>
    <t>Speed Frames</t>
  </si>
  <si>
    <t>S.F Doffing</t>
  </si>
  <si>
    <t>Doffer</t>
  </si>
  <si>
    <t>Can Transporter</t>
  </si>
  <si>
    <t>Material Handler</t>
  </si>
  <si>
    <t>Jobber</t>
  </si>
  <si>
    <t>House Keeping</t>
  </si>
  <si>
    <t>House Keeper</t>
  </si>
  <si>
    <t>1 Person/2 Lines</t>
  </si>
  <si>
    <t>22 cards/opt</t>
  </si>
  <si>
    <t>9 cards</t>
  </si>
  <si>
    <t>4 del/opt</t>
  </si>
  <si>
    <t>2 machine/person</t>
  </si>
  <si>
    <t>10 Combers/Opt</t>
  </si>
  <si>
    <t>2 Machine/opt</t>
  </si>
  <si>
    <t>1250 Bobbins/doffer/shift</t>
  </si>
  <si>
    <t>transportation of cans from carding to finisher D/F</t>
  </si>
  <si>
    <t>Monitor/Jobber</t>
  </si>
  <si>
    <t>Contractors</t>
  </si>
  <si>
    <t>18.75 persons to be relieved (D/F/unilap/Combers)</t>
  </si>
  <si>
    <t>Workload</t>
  </si>
  <si>
    <t>Formulas</t>
  </si>
  <si>
    <t>(8/2)*3</t>
  </si>
  <si>
    <t>(52/22)*3</t>
  </si>
  <si>
    <t>(9/9)*3</t>
  </si>
  <si>
    <t>(22/4)*3</t>
  </si>
  <si>
    <t>(4/4)*3</t>
  </si>
  <si>
    <t>(3/2)*3</t>
  </si>
  <si>
    <t>(18/10)*3</t>
  </si>
  <si>
    <t>(21/4)*3</t>
  </si>
  <si>
    <t>(5/4)*3</t>
  </si>
  <si>
    <t>(16/2)*3</t>
  </si>
  <si>
    <t>Don't need a reliever.</t>
  </si>
  <si>
    <t>RING FRAME</t>
  </si>
  <si>
    <t>R/F Operators (7 LR)</t>
  </si>
  <si>
    <t>ROUND((7*1440)/1000,0)*3</t>
  </si>
  <si>
    <t>R/F Operators (12 Toyota)</t>
  </si>
  <si>
    <t>ROUND(((12*1008)/1440)*3,0)</t>
  </si>
  <si>
    <t>R/F Operators (18 LR)</t>
  </si>
  <si>
    <t>ROUND(((18*1440)/1440)*3,0)</t>
  </si>
  <si>
    <t>R/F Operators (4 Toyota)</t>
  </si>
  <si>
    <t>ROUND(((4*1104)/1104)*3,0)</t>
  </si>
  <si>
    <t>R/F Relievers</t>
  </si>
  <si>
    <t>15% of operators</t>
  </si>
  <si>
    <t>ROUND(SUM(K17:K20)*15%,0)</t>
  </si>
  <si>
    <t>Bobbin Changer</t>
  </si>
  <si>
    <t>850 bobbins/opt</t>
  </si>
  <si>
    <t>(7+12+18+4)</t>
  </si>
  <si>
    <t>Doffer gaitors (7 LR)</t>
  </si>
  <si>
    <t>46 Doffs</t>
  </si>
  <si>
    <t>ROUND((46/30),0)*3</t>
  </si>
  <si>
    <t>Doffer gaitors (12 Toyota)</t>
  </si>
  <si>
    <t>61 Doffs</t>
  </si>
  <si>
    <t>ROUND((61/30),0)*3</t>
  </si>
  <si>
    <t>Doffer gaitors (18 LR)</t>
  </si>
  <si>
    <t>107 Doffs</t>
  </si>
  <si>
    <t>ROUND((107/30),0)*3</t>
  </si>
  <si>
    <t>Doffer gaitors (4 Toyota)</t>
  </si>
  <si>
    <t>22 Doffs</t>
  </si>
  <si>
    <t>ROUND((22/25),0)*3</t>
  </si>
  <si>
    <t>Jobber/Monitor</t>
  </si>
  <si>
    <t>Ok</t>
  </si>
  <si>
    <t>BTS Operator</t>
  </si>
  <si>
    <t>Tube Loader for 12 Toyota</t>
  </si>
  <si>
    <t>Tube loader</t>
  </si>
  <si>
    <t>Need to check</t>
  </si>
  <si>
    <t>Bobbin Stripper</t>
  </si>
  <si>
    <t>R/F Cleaning</t>
  </si>
  <si>
    <t>2 hrs machine downtime</t>
  </si>
  <si>
    <t>Traveller Change</t>
  </si>
  <si>
    <t>15 min/machine</t>
  </si>
  <si>
    <t>Lot Change</t>
  </si>
  <si>
    <t>2 hrs/machine</t>
  </si>
  <si>
    <t>1000 Spdls/ opt</t>
  </si>
  <si>
    <t>1440 Spdls/ opt</t>
  </si>
  <si>
    <t>1100 Spdls/ opt</t>
  </si>
  <si>
    <t>AUTOCONER</t>
  </si>
  <si>
    <t>Link Coner operator</t>
  </si>
  <si>
    <t>4 Machines/Opt</t>
  </si>
  <si>
    <t>ROUND((29/4)*3,0)</t>
  </si>
  <si>
    <t>Autoconer Operators</t>
  </si>
  <si>
    <t>ROUND((300/30)*3,0)</t>
  </si>
  <si>
    <t>Cone carrier</t>
  </si>
  <si>
    <t>Waste carrier</t>
  </si>
  <si>
    <t>PACKING</t>
  </si>
  <si>
    <t>CTS Operator</t>
  </si>
  <si>
    <t>Not Required</t>
  </si>
  <si>
    <t>Conditioning operator</t>
  </si>
  <si>
    <t>Packer</t>
  </si>
  <si>
    <t>Inserting separators/manual packing for Anjar</t>
  </si>
  <si>
    <t>Checker (2000 Cone Tint) (UV - 2000 Checking)</t>
  </si>
  <si>
    <t>Checker</t>
  </si>
  <si>
    <t>Checking of special counts &amp; tinting</t>
  </si>
  <si>
    <t>Open end</t>
  </si>
  <si>
    <t>O/E</t>
  </si>
  <si>
    <t>Sider</t>
  </si>
  <si>
    <t>1 machine/opt</t>
  </si>
  <si>
    <t>Cheese collector</t>
  </si>
  <si>
    <t>(8/1)*3</t>
  </si>
  <si>
    <t>TFO</t>
  </si>
  <si>
    <t>Assembly winding</t>
  </si>
  <si>
    <t>operator</t>
  </si>
  <si>
    <t>Jumbo Assembly Winding</t>
  </si>
  <si>
    <t>TFO Operator</t>
  </si>
  <si>
    <t>TFO Operator (Doffer)</t>
  </si>
  <si>
    <t>Jumbo TFO</t>
  </si>
  <si>
    <t>Vijaylakshmi TFO</t>
  </si>
  <si>
    <t>Cone Carrier</t>
  </si>
  <si>
    <t>Cone Checker</t>
  </si>
  <si>
    <t>Cone checker</t>
  </si>
  <si>
    <t>Cone tipping</t>
  </si>
  <si>
    <t>Fork lift opt</t>
  </si>
  <si>
    <t>Packing Jobber</t>
  </si>
  <si>
    <t>Cotton Warehouse</t>
  </si>
  <si>
    <t>MIS &amp; Floor Coordinator</t>
  </si>
  <si>
    <t>4 Operator / Shift</t>
  </si>
  <si>
    <t>4*3</t>
  </si>
  <si>
    <t>HO final kept as provided</t>
  </si>
  <si>
    <t>Admin &amp; Security</t>
  </si>
  <si>
    <t>Security Gaurds</t>
  </si>
  <si>
    <t>4 Gaurds / Shift</t>
  </si>
  <si>
    <t>House Keeper (TFO)</t>
  </si>
  <si>
    <t>2 Cleaner / Shift</t>
  </si>
  <si>
    <t>2*3</t>
  </si>
  <si>
    <t>Trench Cleaner</t>
  </si>
  <si>
    <t>2 Cleaner in a shift only</t>
  </si>
  <si>
    <t>House Keeper (Spinning and Out Side Area)</t>
  </si>
  <si>
    <t>4 HK / Shift</t>
  </si>
  <si>
    <t>HR</t>
  </si>
  <si>
    <t>MIS &amp; Floor Coordinator (Recruitment)</t>
  </si>
  <si>
    <t>1 Operator / shift</t>
  </si>
  <si>
    <t>1*3</t>
  </si>
  <si>
    <t>DEO (Time Office)</t>
  </si>
  <si>
    <t>DEO</t>
  </si>
  <si>
    <t>1 Operator in a shift</t>
  </si>
  <si>
    <t>Trainer (Spinning)</t>
  </si>
  <si>
    <t>1 Trainer / Shift</t>
  </si>
  <si>
    <t>Trainer (TFO)</t>
  </si>
  <si>
    <t>Not required as provided</t>
  </si>
  <si>
    <t>Trainee</t>
  </si>
  <si>
    <t>4 Trainer / Shift</t>
  </si>
  <si>
    <t>TQM / Lab</t>
  </si>
  <si>
    <t>Lab Technician (TFO)</t>
  </si>
  <si>
    <t>Lab Technician (Spinning)</t>
  </si>
  <si>
    <t>3 Operator / shift</t>
  </si>
  <si>
    <t>3*3</t>
  </si>
  <si>
    <t>Yarn Warehouse</t>
  </si>
  <si>
    <t>2 Operator in A &amp; B shift separately</t>
  </si>
  <si>
    <t>2*2</t>
  </si>
  <si>
    <t>HO final split equally as requested</t>
  </si>
  <si>
    <t>1 Jobber / Day</t>
  </si>
  <si>
    <t>Loader</t>
  </si>
  <si>
    <t>4 Loader in A &amp; B shift separately</t>
  </si>
  <si>
    <t>4*2</t>
  </si>
  <si>
    <t>Waste Management</t>
  </si>
  <si>
    <t>Bale Press Operator</t>
  </si>
  <si>
    <t>Helper</t>
  </si>
  <si>
    <t>Engineering</t>
  </si>
  <si>
    <t>H-Plant Operator</t>
  </si>
  <si>
    <t>2 Operator / Shift</t>
  </si>
  <si>
    <t>H-Plant Mechanic</t>
  </si>
  <si>
    <t>1 Operator / Shift</t>
  </si>
  <si>
    <t>Compressor Operator</t>
  </si>
  <si>
    <t>Compressor Mechanic</t>
  </si>
  <si>
    <t>1 Operator in A &amp; B Shift</t>
  </si>
  <si>
    <t>1*2</t>
  </si>
  <si>
    <t>Electrician (Spinning)</t>
  </si>
  <si>
    <t>3 Operator / Shift</t>
  </si>
  <si>
    <t>Electrician (TFO)</t>
  </si>
  <si>
    <t>H-Plant Operator (TFO)</t>
  </si>
  <si>
    <t>10 Cleaner in General shift only</t>
  </si>
  <si>
    <t>Maintenance</t>
  </si>
  <si>
    <t>Count</t>
  </si>
  <si>
    <t>Customer</t>
  </si>
  <si>
    <t>Count2</t>
  </si>
  <si>
    <t>Speed</t>
  </si>
  <si>
    <t>TPI</t>
  </si>
  <si>
    <t>Utilization</t>
  </si>
  <si>
    <t>Efficiency</t>
  </si>
  <si>
    <t xml:space="preserve">Formula_Production per Drum/ day </t>
  </si>
  <si>
    <t xml:space="preserve">Production per Drum/ day </t>
  </si>
  <si>
    <t xml:space="preserve">Production Required / Month Kgs </t>
  </si>
  <si>
    <t xml:space="preserve">Production Required / day  Kgs </t>
  </si>
  <si>
    <t>No. of Drums Required</t>
  </si>
  <si>
    <t xml:space="preserve">formula_No. of TFO Required/ shift </t>
  </si>
  <si>
    <t xml:space="preserve">No. of TFO Required/ shift </t>
  </si>
  <si>
    <t>mpm</t>
  </si>
  <si>
    <t>Eff</t>
  </si>
  <si>
    <t xml:space="preserve">Formula_kgs/drum/day </t>
  </si>
  <si>
    <t xml:space="preserve">kgs/drum/day </t>
  </si>
  <si>
    <t>formula_No. of Drums</t>
  </si>
  <si>
    <t xml:space="preserve">No. of Drums </t>
  </si>
  <si>
    <t>formula_no. of machines</t>
  </si>
  <si>
    <t>no. of machines</t>
  </si>
  <si>
    <t xml:space="preserve">2/24 KW </t>
  </si>
  <si>
    <t>((D2*60*8*G2*2)/(E2*36*840*C2*2.202))*3</t>
  </si>
  <si>
    <t>No. of Drums Required/240</t>
  </si>
  <si>
    <t xml:space="preserve">(Production Required / day  Kgs )/kgs/drum/day </t>
  </si>
  <si>
    <t>2/30 CW   bci Anjar</t>
  </si>
  <si>
    <t>Anjar</t>
  </si>
  <si>
    <t xml:space="preserve">2/20 KW   </t>
  </si>
  <si>
    <t>2/20 KW    BCI Anjar</t>
  </si>
  <si>
    <t>2/12 K bci Anjar</t>
  </si>
  <si>
    <t>2/9  KC</t>
  </si>
  <si>
    <t>2/6  kc</t>
  </si>
  <si>
    <t>Rugs</t>
  </si>
  <si>
    <t xml:space="preserve">2/19 C hygro </t>
  </si>
  <si>
    <t>9 com  +80 PVA</t>
  </si>
  <si>
    <t xml:space="preserve"> DYED/ Others OS</t>
  </si>
  <si>
    <t>16+106 80 PVA  OS</t>
  </si>
  <si>
    <t xml:space="preserve">13 hygro+80 PVA   </t>
  </si>
  <si>
    <t xml:space="preserve">13 CC +80 PVA </t>
  </si>
  <si>
    <t>14 CC EGY +80 PVA</t>
  </si>
  <si>
    <t>13 CC +80 PVA  OS</t>
  </si>
  <si>
    <t xml:space="preserve">4/2/6  K   </t>
  </si>
  <si>
    <t>No. of Drums Required/80</t>
  </si>
  <si>
    <t>B/R &amp; Cdg</t>
  </si>
  <si>
    <t>foreman</t>
  </si>
  <si>
    <t>Fitter</t>
  </si>
  <si>
    <t>Shift Fitter</t>
  </si>
  <si>
    <t>Preparatory</t>
  </si>
  <si>
    <t>Ring Frame</t>
  </si>
  <si>
    <t>Idle Fitter</t>
  </si>
  <si>
    <t>OHTC</t>
  </si>
  <si>
    <t>Buffing</t>
  </si>
  <si>
    <t>Asst. buffing man</t>
  </si>
  <si>
    <t>Winding</t>
  </si>
  <si>
    <t>Open End</t>
  </si>
  <si>
    <t>2*1</t>
  </si>
  <si>
    <t>1*1</t>
  </si>
  <si>
    <t>Section</t>
  </si>
  <si>
    <t>Based on utilation of workload we given total 9</t>
  </si>
  <si>
    <t>this number may change after final trials</t>
  </si>
  <si>
    <t>Draft zone Cleaning</t>
  </si>
  <si>
    <t>Drivers</t>
  </si>
  <si>
    <t>7*2</t>
  </si>
  <si>
    <t>3*2</t>
  </si>
  <si>
    <t>Contractor Supervisor</t>
  </si>
  <si>
    <t>RFID Tag Application &amp; Unloading &amp; Laydown</t>
  </si>
  <si>
    <t>ROUNDUP((((SUM(T2:T18)/36)+(T19/36))*3),0)</t>
  </si>
  <si>
    <t>ROUND(ROUNDUP(T19,0)/16,0)*2</t>
  </si>
  <si>
    <t>ROUND(+SUM(N2:N18)/6,0)*3</t>
  </si>
  <si>
    <t>ROUNDUP(+SUM(N2:N18)/4,0)*3</t>
  </si>
  <si>
    <t>BLOW ROOM OPERATOR</t>
  </si>
  <si>
    <t>30 drums/opt total = (300 Drums)</t>
  </si>
  <si>
    <t>BE_Final_Manpower</t>
  </si>
  <si>
    <t>BE_Scientific_Manpower</t>
  </si>
  <si>
    <t>0*3</t>
  </si>
  <si>
    <t>5*1</t>
  </si>
  <si>
    <t>(4*1+3*1+3*1)</t>
  </si>
  <si>
    <t>9*1</t>
  </si>
  <si>
    <t>6*1</t>
  </si>
  <si>
    <t xml:space="preserve">formula_Production Required / Month Kgs </t>
  </si>
  <si>
    <t>L2*30</t>
  </si>
  <si>
    <t>L2/I2</t>
  </si>
  <si>
    <t>formul_No. of Drums Required</t>
  </si>
  <si>
    <t>V2/72</t>
  </si>
  <si>
    <t>L19/I19</t>
  </si>
  <si>
    <t>Q2*R2*8*60*1.09/(C2*840*2.202)*3</t>
  </si>
  <si>
    <t>Company_Associate</t>
  </si>
  <si>
    <t>Operator_Type</t>
  </si>
  <si>
    <t>Dept_Machine_Name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</si>
</sst>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2A60C-E8BF-4683-BFA8-DC9CDCD99FD8}" name="Table1" displayName="Table1" ref="A1:T117" totalsRowShown="0" dataDxfId="20">
  <autoFilter ref="A1:T117" xr:uid="{F622A60C-E8BF-4683-BFA8-DC9CDCD99FD8}"/>
  <tableColumns count="20">
    <tableColumn id="1" xr3:uid="{85A1F019-9DB7-48AC-AF2B-F0C9FBE637DA}" name="Location" dataDxfId="19"/>
    <tableColumn id="2" xr3:uid="{545588E2-5E30-4A62-AB93-1DBC57F6BCF8}" name="Business" dataDxfId="18"/>
    <tableColumn id="3" xr3:uid="{44C3C497-13A6-40FF-AABF-EC930E13E039}" name="Section" dataDxfId="17"/>
    <tableColumn id="4" xr3:uid="{ED8F8366-2CFD-45B1-B1C2-AA92F55B23F6}" name="Sr_No" dataDxfId="16"/>
    <tableColumn id="5" xr3:uid="{3C440E90-56BF-4BC4-ACD0-A73E98969A14}" name="Dept_Machine_Name" dataDxfId="15"/>
    <tableColumn id="6" xr3:uid="{EADE3DD8-7C1C-4874-8032-AD8F2F81A125}" name="Designation" dataDxfId="14"/>
    <tableColumn id="7" xr3:uid="{292F7B89-A9FA-4B1D-8581-9D4596E679FF}" name="Machine_Count" dataDxfId="13"/>
    <tableColumn id="9" xr3:uid="{090D3B71-C4CF-432F-B817-104F30316591}" name="Workload" dataDxfId="12"/>
    <tableColumn id="10" xr3:uid="{9EDB9484-B177-478C-9BA3-4C1AE3030F95}" name="Formulas" dataDxfId="11"/>
    <tableColumn id="11" xr3:uid="{3A1186F6-9294-4AEC-A543-A07372ADEF4D}" name="BE_Scientific_Manpower" dataDxfId="10"/>
    <tableColumn id="20" xr3:uid="{071CCBE0-65D5-467E-AFCC-8949549E1BB6}" name="Operator_Type" dataDxfId="9"/>
    <tableColumn id="8" xr3:uid="{F5544431-B0F5-4C79-B5EB-61614939F4B5}" name="Contractors" dataDxfId="8"/>
    <tableColumn id="19" xr3:uid="{15BE4AF0-E211-4DE0-800A-0EDB9C705B37}" name="Company_Associate" dataDxfId="7"/>
    <tableColumn id="12" xr3:uid="{47E45710-4EB9-4699-B8AD-09AC38DE8C54}" name="BE_Final_Manpower" dataDxfId="6"/>
    <tableColumn id="13" xr3:uid="{38203A5B-662C-436E-A752-C238B552EF03}" name="General_Shift" dataDxfId="5"/>
    <tableColumn id="14" xr3:uid="{3D149A8F-3122-4C7E-B50D-02B6DF1691E0}" name="Shift_A" dataDxfId="4"/>
    <tableColumn id="15" xr3:uid="{0AFA7034-EEDB-4D14-A601-C01016D3A7D5}" name="Shift_B" dataDxfId="3"/>
    <tableColumn id="16" xr3:uid="{64D43A66-597F-4C18-84E0-E76FCB0F95CC}" name="Shift_C" dataDxfId="2"/>
    <tableColumn id="17" xr3:uid="{554EDC51-4B6D-44FF-BB2C-DA6797B32110}" name="Reliever" dataDxfId="1"/>
    <tableColumn id="18" xr3:uid="{FF4E975E-F83C-4D1D-8950-072C414D6E58}" name="Remarks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1DC54-EC66-4CAB-9BBF-6CB0CD4E37DB}" name="Table2" displayName="Table2" ref="A1:X19" totalsRowShown="0">
  <autoFilter ref="A1:X19" xr:uid="{1A41DC54-EC66-4CAB-9BBF-6CB0CD4E37DB}"/>
  <tableColumns count="24">
    <tableColumn id="1" xr3:uid="{1DCD2645-4593-4E7F-A866-0402A47C5590}" name="Count"/>
    <tableColumn id="2" xr3:uid="{ECB8C04A-41DB-4ACF-BDD5-35648226FD4D}" name="Customer"/>
    <tableColumn id="3" xr3:uid="{7FB2A76E-99F2-4234-BB76-1E7500BC87DA}" name="Count2"/>
    <tableColumn id="4" xr3:uid="{9FCFBAC9-9818-49B9-A38A-0BBF74E1AF08}" name="Speed"/>
    <tableColumn id="5" xr3:uid="{CF7EB0B9-C0A6-469A-A583-452612604A93}" name="TPI"/>
    <tableColumn id="6" xr3:uid="{FBED24A1-3DB2-4325-BDD9-BCEFD8DBE7E0}" name="Utilization"/>
    <tableColumn id="7" xr3:uid="{00039784-93D4-4F03-94F0-3D9165F3F7B5}" name="Efficiency"/>
    <tableColumn id="8" xr3:uid="{1C0BCECE-7E25-429A-A07A-493E05A1B64D}" name="Formula_Production per Drum/ day "/>
    <tableColumn id="9" xr3:uid="{A45DFE32-A98D-4B00-AA84-34B653FFF353}" name="Production per Drum/ day ">
      <calculatedColumnFormula>((D2*60*8*G2*2)/(E2*36*840*C2*2.202))*3</calculatedColumnFormula>
    </tableColumn>
    <tableColumn id="23" xr3:uid="{C69696E1-455D-46A2-A34D-ED761D3A9E4E}" name="formula_Production Required / Month Kgs "/>
    <tableColumn id="10" xr3:uid="{0CE5E939-1885-4A81-9F54-45019D6AF9ED}" name="Production Required / Month Kgs ">
      <calculatedColumnFormula>L2*30</calculatedColumnFormula>
    </tableColumn>
    <tableColumn id="11" xr3:uid="{2D9BB7FC-414D-44A7-BA33-064AB74254EC}" name="Production Required / day  Kgs "/>
    <tableColumn id="24" xr3:uid="{837B0BC7-A2DA-48D8-B881-2E9004073921}" name="formul_No. of Drums Required"/>
    <tableColumn id="12" xr3:uid="{E2B4A990-ABE7-4090-BE7B-CE105F913FDC}" name="No. of Drums Required">
      <calculatedColumnFormula>L2/I2</calculatedColumnFormula>
    </tableColumn>
    <tableColumn id="13" xr3:uid="{7C882653-B2FB-4460-945F-BEC827034FAE}" name="formula_No. of TFO Required/ shift "/>
    <tableColumn id="14" xr3:uid="{74DD064C-08DB-4132-A242-1290AD15CDB8}" name="No. of TFO Required/ shift " dataDxfId="30" totalsRowDxfId="29"/>
    <tableColumn id="15" xr3:uid="{65F3003E-C476-4D6D-BE1A-6488E17CDB9D}" name="mpm"/>
    <tableColumn id="16" xr3:uid="{6E9D763E-DE2C-4A86-B1EA-5287AC19467B}" name="Eff" dataDxfId="28" totalsRowDxfId="27"/>
    <tableColumn id="17" xr3:uid="{4C4EE216-BFC8-45EA-BA92-DA7C3E734438}" name="Formula_kgs/drum/day " dataDxfId="26" totalsRowDxfId="25"/>
    <tableColumn id="18" xr3:uid="{00170897-62B8-4C84-AE04-5EAE44ABC362}" name="kgs/drum/day ">
      <calculatedColumnFormula>Q2*R2*8*60*1.09/(C2*840*2.202)*3</calculatedColumnFormula>
    </tableColumn>
    <tableColumn id="19" xr3:uid="{2DD7DB04-94B4-4773-9E4C-D99D0E582A8C}" name="formula_No. of Drums"/>
    <tableColumn id="20" xr3:uid="{B964DFB3-EA94-419A-8A86-F1F5917ADCA3}" name="No. of Drums " dataDxfId="24" totalsRowDxfId="23">
      <calculatedColumnFormula>L2/T2</calculatedColumnFormula>
    </tableColumn>
    <tableColumn id="21" xr3:uid="{ACA15BF8-B0A7-481E-A7F2-D7E94E5D9CB0}" name="formula_no. of machines" dataDxfId="22" totalsRowDxfId="21"/>
    <tableColumn id="22" xr3:uid="{0459E32F-2AB6-434A-9439-F5F08B7C6254}" name="no. of machines">
      <calculatedColumnFormula>V2/72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topLeftCell="F1" zoomScale="92" zoomScaleNormal="70" workbookViewId="0">
      <selection activeCell="G28" sqref="G28"/>
    </sheetView>
  </sheetViews>
  <sheetFormatPr defaultRowHeight="14.4" x14ac:dyDescent="0.55000000000000004"/>
  <cols>
    <col min="1" max="1" width="13.1015625" customWidth="1"/>
    <col min="2" max="2" width="13.3125" customWidth="1"/>
    <col min="3" max="3" width="20.1015625" customWidth="1"/>
    <col min="4" max="4" width="10.1015625" customWidth="1"/>
    <col min="5" max="5" width="46.7890625" bestFit="1" customWidth="1"/>
    <col min="6" max="6" width="44.41796875" customWidth="1"/>
    <col min="7" max="7" width="20.7890625" customWidth="1"/>
    <col min="8" max="8" width="48.41796875" bestFit="1" customWidth="1"/>
    <col min="9" max="9" width="40" bestFit="1" customWidth="1"/>
    <col min="10" max="13" width="31.5234375" customWidth="1"/>
    <col min="14" max="14" width="26.20703125" customWidth="1"/>
    <col min="15" max="15" width="18.7890625" customWidth="1"/>
    <col min="16" max="18" width="11.5234375" customWidth="1"/>
    <col min="19" max="19" width="12.3125" customWidth="1"/>
    <col min="20" max="20" width="38.68359375" customWidth="1"/>
  </cols>
  <sheetData>
    <row r="1" spans="1:20" x14ac:dyDescent="0.55000000000000004">
      <c r="A1" t="s">
        <v>0</v>
      </c>
      <c r="B1" t="s">
        <v>1</v>
      </c>
      <c r="C1" t="s">
        <v>254</v>
      </c>
      <c r="D1" t="s">
        <v>2</v>
      </c>
      <c r="E1" t="s">
        <v>285</v>
      </c>
      <c r="F1" t="s">
        <v>3</v>
      </c>
      <c r="G1" t="s">
        <v>4</v>
      </c>
      <c r="H1" t="s">
        <v>44</v>
      </c>
      <c r="I1" t="s">
        <v>45</v>
      </c>
      <c r="J1" t="s">
        <v>270</v>
      </c>
      <c r="K1" t="s">
        <v>284</v>
      </c>
      <c r="L1" t="s">
        <v>42</v>
      </c>
      <c r="M1" t="s">
        <v>283</v>
      </c>
      <c r="N1" t="s">
        <v>269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</row>
    <row r="2" spans="1:20" x14ac:dyDescent="0.55000000000000004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267</v>
      </c>
      <c r="G2">
        <v>8</v>
      </c>
      <c r="H2" t="s">
        <v>32</v>
      </c>
      <c r="I2" t="s">
        <v>46</v>
      </c>
      <c r="J2">
        <v>12</v>
      </c>
      <c r="N2">
        <v>9</v>
      </c>
      <c r="O2">
        <v>0</v>
      </c>
      <c r="P2">
        <v>3</v>
      </c>
      <c r="Q2">
        <v>3</v>
      </c>
      <c r="R2">
        <v>3</v>
      </c>
      <c r="S2">
        <v>0</v>
      </c>
      <c r="T2" t="s">
        <v>255</v>
      </c>
    </row>
    <row r="3" spans="1:20" x14ac:dyDescent="0.55000000000000004">
      <c r="A3" t="s">
        <v>11</v>
      </c>
      <c r="B3" t="s">
        <v>12</v>
      </c>
      <c r="C3" t="s">
        <v>13</v>
      </c>
      <c r="D3">
        <v>2</v>
      </c>
      <c r="E3" t="s">
        <v>16</v>
      </c>
      <c r="F3" t="s">
        <v>15</v>
      </c>
      <c r="G3">
        <v>52</v>
      </c>
      <c r="H3" t="s">
        <v>33</v>
      </c>
      <c r="I3" t="s">
        <v>47</v>
      </c>
      <c r="J3">
        <v>7.09</v>
      </c>
      <c r="N3">
        <v>9</v>
      </c>
      <c r="O3">
        <v>0</v>
      </c>
      <c r="P3">
        <v>3</v>
      </c>
      <c r="Q3">
        <v>3</v>
      </c>
      <c r="R3">
        <v>3</v>
      </c>
      <c r="S3">
        <v>0</v>
      </c>
    </row>
    <row r="4" spans="1:20" x14ac:dyDescent="0.55000000000000004">
      <c r="A4" t="s">
        <v>11</v>
      </c>
      <c r="B4" t="s">
        <v>12</v>
      </c>
      <c r="C4" t="s">
        <v>13</v>
      </c>
      <c r="D4">
        <v>3</v>
      </c>
      <c r="E4" t="s">
        <v>17</v>
      </c>
      <c r="F4" t="s">
        <v>15</v>
      </c>
      <c r="G4">
        <v>9</v>
      </c>
      <c r="H4" t="s">
        <v>34</v>
      </c>
      <c r="I4" t="s">
        <v>48</v>
      </c>
      <c r="J4">
        <v>3</v>
      </c>
      <c r="N4">
        <v>3</v>
      </c>
      <c r="O4">
        <v>0</v>
      </c>
      <c r="P4">
        <v>1</v>
      </c>
      <c r="Q4">
        <v>1</v>
      </c>
      <c r="R4">
        <v>1</v>
      </c>
      <c r="S4">
        <v>0</v>
      </c>
    </row>
    <row r="5" spans="1:20" x14ac:dyDescent="0.55000000000000004">
      <c r="A5" t="s">
        <v>11</v>
      </c>
      <c r="B5" t="s">
        <v>12</v>
      </c>
      <c r="C5" t="s">
        <v>13</v>
      </c>
      <c r="D5">
        <v>4</v>
      </c>
      <c r="E5" t="s">
        <v>18</v>
      </c>
      <c r="F5" t="s">
        <v>15</v>
      </c>
      <c r="G5">
        <v>22</v>
      </c>
      <c r="H5" t="s">
        <v>35</v>
      </c>
      <c r="I5" t="s">
        <v>49</v>
      </c>
      <c r="J5">
        <v>16.5</v>
      </c>
      <c r="N5">
        <v>18</v>
      </c>
      <c r="O5">
        <v>0</v>
      </c>
      <c r="P5">
        <v>6</v>
      </c>
      <c r="Q5">
        <v>6</v>
      </c>
      <c r="R5">
        <v>6</v>
      </c>
      <c r="S5">
        <v>0</v>
      </c>
    </row>
    <row r="6" spans="1:20" x14ac:dyDescent="0.55000000000000004">
      <c r="A6" t="s">
        <v>11</v>
      </c>
      <c r="B6" t="s">
        <v>12</v>
      </c>
      <c r="C6" t="s">
        <v>13</v>
      </c>
      <c r="D6">
        <v>5</v>
      </c>
      <c r="E6" t="s">
        <v>19</v>
      </c>
      <c r="F6" t="s">
        <v>15</v>
      </c>
      <c r="G6">
        <v>4</v>
      </c>
      <c r="H6" t="s">
        <v>35</v>
      </c>
      <c r="I6" t="s">
        <v>50</v>
      </c>
      <c r="J6">
        <v>3</v>
      </c>
      <c r="N6">
        <v>3</v>
      </c>
      <c r="O6">
        <v>0</v>
      </c>
      <c r="P6">
        <v>1</v>
      </c>
      <c r="Q6">
        <v>1</v>
      </c>
      <c r="R6">
        <v>1</v>
      </c>
      <c r="S6">
        <v>0</v>
      </c>
    </row>
    <row r="7" spans="1:20" x14ac:dyDescent="0.55000000000000004">
      <c r="A7" t="s">
        <v>11</v>
      </c>
      <c r="B7" t="s">
        <v>12</v>
      </c>
      <c r="C7" t="s">
        <v>13</v>
      </c>
      <c r="D7">
        <v>6</v>
      </c>
      <c r="E7" t="s">
        <v>20</v>
      </c>
      <c r="F7" t="s">
        <v>15</v>
      </c>
      <c r="G7">
        <v>3</v>
      </c>
      <c r="H7" t="s">
        <v>36</v>
      </c>
      <c r="I7" t="s">
        <v>51</v>
      </c>
      <c r="J7">
        <v>4.5</v>
      </c>
      <c r="N7">
        <v>6</v>
      </c>
      <c r="O7">
        <v>0</v>
      </c>
      <c r="P7">
        <v>2</v>
      </c>
      <c r="Q7">
        <v>2</v>
      </c>
      <c r="R7">
        <v>2</v>
      </c>
      <c r="S7">
        <v>0</v>
      </c>
    </row>
    <row r="8" spans="1:20" x14ac:dyDescent="0.55000000000000004">
      <c r="A8" t="s">
        <v>11</v>
      </c>
      <c r="B8" t="s">
        <v>12</v>
      </c>
      <c r="C8" t="s">
        <v>13</v>
      </c>
      <c r="D8">
        <v>7</v>
      </c>
      <c r="E8" t="s">
        <v>21</v>
      </c>
      <c r="F8" t="s">
        <v>15</v>
      </c>
      <c r="G8">
        <v>18</v>
      </c>
      <c r="H8" t="s">
        <v>37</v>
      </c>
      <c r="I8" t="s">
        <v>52</v>
      </c>
      <c r="J8">
        <v>5.4</v>
      </c>
      <c r="N8">
        <v>6</v>
      </c>
      <c r="O8">
        <v>0</v>
      </c>
      <c r="P8">
        <v>2</v>
      </c>
      <c r="Q8">
        <v>2</v>
      </c>
      <c r="R8">
        <v>2</v>
      </c>
      <c r="S8">
        <v>0</v>
      </c>
    </row>
    <row r="9" spans="1:20" x14ac:dyDescent="0.55000000000000004">
      <c r="A9" t="s">
        <v>11</v>
      </c>
      <c r="B9" t="s">
        <v>12</v>
      </c>
      <c r="C9" t="s">
        <v>13</v>
      </c>
      <c r="D9">
        <v>8</v>
      </c>
      <c r="E9" t="s">
        <v>22</v>
      </c>
      <c r="F9" t="s">
        <v>15</v>
      </c>
      <c r="G9">
        <v>21</v>
      </c>
      <c r="H9" t="s">
        <v>35</v>
      </c>
      <c r="I9" t="s">
        <v>53</v>
      </c>
      <c r="J9">
        <v>15.75</v>
      </c>
      <c r="N9">
        <v>15</v>
      </c>
      <c r="O9">
        <v>0</v>
      </c>
      <c r="P9">
        <v>5</v>
      </c>
      <c r="Q9">
        <v>5</v>
      </c>
      <c r="R9">
        <v>5</v>
      </c>
      <c r="S9">
        <v>0</v>
      </c>
    </row>
    <row r="10" spans="1:20" x14ac:dyDescent="0.55000000000000004">
      <c r="A10" t="s">
        <v>11</v>
      </c>
      <c r="B10" t="s">
        <v>12</v>
      </c>
      <c r="C10" t="s">
        <v>13</v>
      </c>
      <c r="D10">
        <v>9</v>
      </c>
      <c r="E10" t="s">
        <v>23</v>
      </c>
      <c r="F10" t="s">
        <v>15</v>
      </c>
      <c r="G10">
        <v>5</v>
      </c>
      <c r="H10" t="s">
        <v>35</v>
      </c>
      <c r="I10" t="s">
        <v>54</v>
      </c>
      <c r="J10">
        <v>3.75</v>
      </c>
      <c r="N10">
        <v>4</v>
      </c>
      <c r="O10">
        <v>1</v>
      </c>
      <c r="P10">
        <v>1</v>
      </c>
      <c r="Q10">
        <v>1</v>
      </c>
      <c r="R10">
        <v>1</v>
      </c>
      <c r="S10">
        <v>0</v>
      </c>
    </row>
    <row r="11" spans="1:20" x14ac:dyDescent="0.55000000000000004">
      <c r="A11" t="s">
        <v>11</v>
      </c>
      <c r="B11" t="s">
        <v>12</v>
      </c>
      <c r="C11" t="s">
        <v>13</v>
      </c>
      <c r="D11">
        <v>10</v>
      </c>
      <c r="E11" t="s">
        <v>24</v>
      </c>
      <c r="F11" t="s">
        <v>15</v>
      </c>
      <c r="G11">
        <v>16</v>
      </c>
      <c r="H11" t="s">
        <v>38</v>
      </c>
      <c r="I11" t="s">
        <v>55</v>
      </c>
      <c r="J11">
        <v>24</v>
      </c>
      <c r="N11">
        <v>27</v>
      </c>
      <c r="O11">
        <v>0</v>
      </c>
      <c r="P11">
        <v>9</v>
      </c>
      <c r="Q11">
        <v>9</v>
      </c>
      <c r="R11">
        <v>9</v>
      </c>
      <c r="S11">
        <v>0</v>
      </c>
      <c r="T11" t="s">
        <v>256</v>
      </c>
    </row>
    <row r="12" spans="1:20" x14ac:dyDescent="0.55000000000000004">
      <c r="A12" t="s">
        <v>11</v>
      </c>
      <c r="B12" t="s">
        <v>12</v>
      </c>
      <c r="C12" t="s">
        <v>13</v>
      </c>
      <c r="D12">
        <v>11</v>
      </c>
      <c r="E12" t="s">
        <v>25</v>
      </c>
      <c r="F12" t="s">
        <v>26</v>
      </c>
      <c r="G12">
        <v>16</v>
      </c>
      <c r="H12" t="s">
        <v>39</v>
      </c>
      <c r="I12" t="s">
        <v>55</v>
      </c>
      <c r="J12">
        <v>24</v>
      </c>
      <c r="N12">
        <v>27</v>
      </c>
      <c r="O12">
        <v>0</v>
      </c>
      <c r="P12">
        <v>9</v>
      </c>
      <c r="Q12">
        <v>9</v>
      </c>
      <c r="R12">
        <v>9</v>
      </c>
      <c r="S12">
        <v>0</v>
      </c>
    </row>
    <row r="13" spans="1:20" x14ac:dyDescent="0.55000000000000004">
      <c r="A13" t="s">
        <v>11</v>
      </c>
      <c r="B13" t="s">
        <v>12</v>
      </c>
      <c r="C13" t="s">
        <v>13</v>
      </c>
      <c r="D13">
        <v>12</v>
      </c>
      <c r="E13" t="s">
        <v>27</v>
      </c>
      <c r="F13" t="s">
        <v>28</v>
      </c>
      <c r="H13" t="s">
        <v>40</v>
      </c>
      <c r="I13" t="s">
        <v>155</v>
      </c>
      <c r="J13">
        <v>3</v>
      </c>
      <c r="N13">
        <v>3</v>
      </c>
      <c r="O13">
        <v>3</v>
      </c>
      <c r="P13">
        <v>0</v>
      </c>
      <c r="Q13">
        <v>0</v>
      </c>
      <c r="R13">
        <v>0</v>
      </c>
      <c r="S13">
        <v>0</v>
      </c>
    </row>
    <row r="14" spans="1:20" x14ac:dyDescent="0.55000000000000004">
      <c r="A14" t="s">
        <v>11</v>
      </c>
      <c r="B14" t="s">
        <v>12</v>
      </c>
      <c r="C14" t="s">
        <v>13</v>
      </c>
      <c r="D14">
        <v>13</v>
      </c>
      <c r="E14" t="s">
        <v>29</v>
      </c>
      <c r="F14" t="s">
        <v>29</v>
      </c>
      <c r="H14" t="s">
        <v>41</v>
      </c>
      <c r="I14" t="s">
        <v>147</v>
      </c>
      <c r="J14">
        <v>6</v>
      </c>
      <c r="N14">
        <v>6</v>
      </c>
      <c r="O14">
        <v>0</v>
      </c>
      <c r="P14">
        <v>2</v>
      </c>
      <c r="Q14">
        <v>2</v>
      </c>
      <c r="R14">
        <v>2</v>
      </c>
      <c r="S14">
        <v>0</v>
      </c>
    </row>
    <row r="15" spans="1:20" x14ac:dyDescent="0.55000000000000004">
      <c r="A15" t="s">
        <v>11</v>
      </c>
      <c r="B15" t="s">
        <v>12</v>
      </c>
      <c r="C15" t="s">
        <v>13</v>
      </c>
      <c r="D15">
        <v>14</v>
      </c>
      <c r="E15" t="s">
        <v>30</v>
      </c>
      <c r="F15" t="s">
        <v>31</v>
      </c>
      <c r="H15" t="s">
        <v>42</v>
      </c>
      <c r="I15" t="s">
        <v>147</v>
      </c>
      <c r="J15">
        <v>6</v>
      </c>
      <c r="N15">
        <v>6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20" x14ac:dyDescent="0.55000000000000004">
      <c r="A16" t="s">
        <v>11</v>
      </c>
      <c r="B16" t="s">
        <v>12</v>
      </c>
      <c r="C16" t="s">
        <v>13</v>
      </c>
      <c r="D16">
        <v>15</v>
      </c>
      <c r="E16" t="s">
        <v>9</v>
      </c>
      <c r="F16" t="s">
        <v>15</v>
      </c>
      <c r="H16" t="s">
        <v>43</v>
      </c>
      <c r="I16" t="s">
        <v>271</v>
      </c>
      <c r="J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56</v>
      </c>
    </row>
    <row r="17" spans="1:20" x14ac:dyDescent="0.55000000000000004">
      <c r="A17" t="s">
        <v>11</v>
      </c>
      <c r="B17" t="s">
        <v>12</v>
      </c>
      <c r="C17" t="s">
        <v>57</v>
      </c>
      <c r="D17">
        <v>1</v>
      </c>
      <c r="E17" t="s">
        <v>58</v>
      </c>
      <c r="F17" t="s">
        <v>15</v>
      </c>
      <c r="G17">
        <v>7</v>
      </c>
      <c r="H17" t="s">
        <v>97</v>
      </c>
      <c r="I17" t="s">
        <v>59</v>
      </c>
      <c r="J17">
        <v>30</v>
      </c>
      <c r="N17">
        <v>30</v>
      </c>
      <c r="O17">
        <v>0</v>
      </c>
      <c r="P17">
        <v>10</v>
      </c>
      <c r="Q17">
        <v>10</v>
      </c>
      <c r="R17">
        <v>10</v>
      </c>
      <c r="S17">
        <v>0</v>
      </c>
    </row>
    <row r="18" spans="1:20" x14ac:dyDescent="0.55000000000000004">
      <c r="A18" t="s">
        <v>11</v>
      </c>
      <c r="B18" t="s">
        <v>12</v>
      </c>
      <c r="C18" t="s">
        <v>57</v>
      </c>
      <c r="D18">
        <v>2</v>
      </c>
      <c r="E18" t="s">
        <v>60</v>
      </c>
      <c r="F18" t="s">
        <v>15</v>
      </c>
      <c r="G18">
        <v>12</v>
      </c>
      <c r="H18" t="s">
        <v>98</v>
      </c>
      <c r="I18" t="s">
        <v>61</v>
      </c>
      <c r="J18">
        <v>25</v>
      </c>
      <c r="N18">
        <v>25</v>
      </c>
      <c r="O18">
        <v>0</v>
      </c>
      <c r="P18">
        <v>8</v>
      </c>
      <c r="Q18">
        <v>8</v>
      </c>
      <c r="R18">
        <v>8</v>
      </c>
      <c r="S18">
        <v>0</v>
      </c>
    </row>
    <row r="19" spans="1:20" x14ac:dyDescent="0.55000000000000004">
      <c r="A19" t="s">
        <v>11</v>
      </c>
      <c r="B19" t="s">
        <v>12</v>
      </c>
      <c r="C19" t="s">
        <v>57</v>
      </c>
      <c r="D19">
        <v>3</v>
      </c>
      <c r="E19" t="s">
        <v>62</v>
      </c>
      <c r="F19" t="s">
        <v>15</v>
      </c>
      <c r="G19">
        <v>18</v>
      </c>
      <c r="H19" t="s">
        <v>98</v>
      </c>
      <c r="I19" t="s">
        <v>63</v>
      </c>
      <c r="J19">
        <v>54</v>
      </c>
      <c r="N19">
        <v>54</v>
      </c>
      <c r="O19">
        <v>0</v>
      </c>
      <c r="P19">
        <v>18</v>
      </c>
      <c r="Q19">
        <v>18</v>
      </c>
      <c r="R19">
        <v>18</v>
      </c>
      <c r="S19">
        <v>0</v>
      </c>
    </row>
    <row r="20" spans="1:20" x14ac:dyDescent="0.55000000000000004">
      <c r="A20" t="s">
        <v>11</v>
      </c>
      <c r="B20" t="s">
        <v>12</v>
      </c>
      <c r="C20" t="s">
        <v>57</v>
      </c>
      <c r="D20">
        <v>4</v>
      </c>
      <c r="E20" t="s">
        <v>64</v>
      </c>
      <c r="F20" t="s">
        <v>15</v>
      </c>
      <c r="G20">
        <v>4</v>
      </c>
      <c r="H20" t="s">
        <v>99</v>
      </c>
      <c r="I20" t="s">
        <v>65</v>
      </c>
      <c r="J20">
        <v>12</v>
      </c>
      <c r="N20">
        <v>12</v>
      </c>
      <c r="O20">
        <v>0</v>
      </c>
      <c r="P20">
        <v>4</v>
      </c>
      <c r="Q20">
        <v>4</v>
      </c>
      <c r="R20">
        <v>4</v>
      </c>
      <c r="S20">
        <v>0</v>
      </c>
    </row>
    <row r="21" spans="1:20" x14ac:dyDescent="0.55000000000000004">
      <c r="A21" t="s">
        <v>11</v>
      </c>
      <c r="B21" t="s">
        <v>12</v>
      </c>
      <c r="C21" t="s">
        <v>57</v>
      </c>
      <c r="D21">
        <v>5</v>
      </c>
      <c r="E21" t="s">
        <v>66</v>
      </c>
      <c r="F21" t="s">
        <v>15</v>
      </c>
      <c r="H21" t="s">
        <v>67</v>
      </c>
      <c r="I21" t="s">
        <v>68</v>
      </c>
      <c r="J21">
        <v>18</v>
      </c>
      <c r="N21">
        <v>18</v>
      </c>
      <c r="O21">
        <v>0</v>
      </c>
      <c r="P21">
        <v>6</v>
      </c>
      <c r="Q21">
        <v>6</v>
      </c>
      <c r="R21">
        <v>6</v>
      </c>
      <c r="S21">
        <v>0</v>
      </c>
    </row>
    <row r="22" spans="1:20" x14ac:dyDescent="0.55000000000000004">
      <c r="A22" t="s">
        <v>11</v>
      </c>
      <c r="B22" t="s">
        <v>12</v>
      </c>
      <c r="C22" t="s">
        <v>57</v>
      </c>
      <c r="D22">
        <v>6</v>
      </c>
      <c r="E22" t="s">
        <v>69</v>
      </c>
      <c r="F22" t="s">
        <v>15</v>
      </c>
      <c r="H22" t="s">
        <v>70</v>
      </c>
      <c r="I22" t="s">
        <v>71</v>
      </c>
      <c r="J22">
        <v>41</v>
      </c>
      <c r="N22">
        <v>41</v>
      </c>
      <c r="O22">
        <v>0</v>
      </c>
      <c r="P22">
        <v>14</v>
      </c>
      <c r="Q22">
        <v>14</v>
      </c>
      <c r="R22">
        <v>13</v>
      </c>
      <c r="S22">
        <v>0</v>
      </c>
    </row>
    <row r="23" spans="1:20" x14ac:dyDescent="0.55000000000000004">
      <c r="A23" t="s">
        <v>11</v>
      </c>
      <c r="B23" t="s">
        <v>12</v>
      </c>
      <c r="C23" t="s">
        <v>57</v>
      </c>
      <c r="D23">
        <v>7</v>
      </c>
      <c r="E23" t="s">
        <v>72</v>
      </c>
      <c r="F23" t="s">
        <v>15</v>
      </c>
      <c r="G23">
        <v>7</v>
      </c>
      <c r="H23" t="s">
        <v>73</v>
      </c>
      <c r="I23" t="s">
        <v>74</v>
      </c>
      <c r="J23">
        <v>6</v>
      </c>
      <c r="N23">
        <v>6</v>
      </c>
      <c r="O23">
        <v>0</v>
      </c>
      <c r="P23">
        <v>2</v>
      </c>
      <c r="Q23">
        <v>2</v>
      </c>
      <c r="R23">
        <v>2</v>
      </c>
      <c r="S23">
        <v>0</v>
      </c>
    </row>
    <row r="24" spans="1:20" x14ac:dyDescent="0.55000000000000004">
      <c r="A24" t="s">
        <v>11</v>
      </c>
      <c r="B24" t="s">
        <v>12</v>
      </c>
      <c r="C24" t="s">
        <v>57</v>
      </c>
      <c r="D24">
        <v>8</v>
      </c>
      <c r="E24" t="s">
        <v>75</v>
      </c>
      <c r="F24" t="s">
        <v>15</v>
      </c>
      <c r="G24">
        <v>12</v>
      </c>
      <c r="H24" t="s">
        <v>76</v>
      </c>
      <c r="I24" t="s">
        <v>77</v>
      </c>
      <c r="J24">
        <v>6</v>
      </c>
      <c r="N24">
        <v>6</v>
      </c>
      <c r="O24">
        <v>0</v>
      </c>
      <c r="P24">
        <v>2</v>
      </c>
      <c r="Q24">
        <v>2</v>
      </c>
      <c r="R24">
        <v>2</v>
      </c>
      <c r="S24">
        <v>0</v>
      </c>
    </row>
    <row r="25" spans="1:20" x14ac:dyDescent="0.55000000000000004">
      <c r="A25" t="s">
        <v>11</v>
      </c>
      <c r="B25" t="s">
        <v>12</v>
      </c>
      <c r="C25" t="s">
        <v>57</v>
      </c>
      <c r="D25">
        <v>9</v>
      </c>
      <c r="E25" t="s">
        <v>78</v>
      </c>
      <c r="F25" t="s">
        <v>15</v>
      </c>
      <c r="G25">
        <v>18</v>
      </c>
      <c r="H25" t="s">
        <v>79</v>
      </c>
      <c r="I25" t="s">
        <v>80</v>
      </c>
      <c r="J25">
        <v>12</v>
      </c>
      <c r="N25">
        <v>12</v>
      </c>
      <c r="O25">
        <v>0</v>
      </c>
      <c r="P25">
        <v>4</v>
      </c>
      <c r="Q25">
        <v>4</v>
      </c>
      <c r="R25">
        <v>4</v>
      </c>
      <c r="S25">
        <v>0</v>
      </c>
    </row>
    <row r="26" spans="1:20" x14ac:dyDescent="0.55000000000000004">
      <c r="A26" t="s">
        <v>11</v>
      </c>
      <c r="B26" t="s">
        <v>12</v>
      </c>
      <c r="C26" t="s">
        <v>57</v>
      </c>
      <c r="D26">
        <v>10</v>
      </c>
      <c r="E26" t="s">
        <v>81</v>
      </c>
      <c r="F26" t="s">
        <v>15</v>
      </c>
      <c r="G26">
        <v>4</v>
      </c>
      <c r="H26" t="s">
        <v>82</v>
      </c>
      <c r="I26" t="s">
        <v>83</v>
      </c>
      <c r="J26">
        <v>3</v>
      </c>
      <c r="N26">
        <v>3</v>
      </c>
      <c r="O26">
        <v>0</v>
      </c>
      <c r="P26">
        <v>1</v>
      </c>
      <c r="Q26">
        <v>1</v>
      </c>
      <c r="R26">
        <v>1</v>
      </c>
      <c r="S26">
        <v>0</v>
      </c>
    </row>
    <row r="27" spans="1:20" x14ac:dyDescent="0.55000000000000004">
      <c r="A27" t="s">
        <v>11</v>
      </c>
      <c r="B27" t="s">
        <v>12</v>
      </c>
      <c r="C27" t="s">
        <v>57</v>
      </c>
      <c r="D27">
        <v>11</v>
      </c>
      <c r="E27" t="s">
        <v>29</v>
      </c>
      <c r="F27" t="s">
        <v>84</v>
      </c>
      <c r="I27" t="s">
        <v>169</v>
      </c>
      <c r="J27">
        <v>9</v>
      </c>
      <c r="N27">
        <v>9</v>
      </c>
      <c r="O27">
        <v>0</v>
      </c>
      <c r="P27">
        <v>3</v>
      </c>
      <c r="Q27">
        <v>3</v>
      </c>
      <c r="R27">
        <v>3</v>
      </c>
      <c r="S27">
        <v>0</v>
      </c>
      <c r="T27" t="s">
        <v>85</v>
      </c>
    </row>
    <row r="28" spans="1:20" x14ac:dyDescent="0.55000000000000004">
      <c r="A28" t="s">
        <v>11</v>
      </c>
      <c r="B28" t="s">
        <v>12</v>
      </c>
      <c r="C28" t="s">
        <v>57</v>
      </c>
      <c r="D28">
        <v>12</v>
      </c>
      <c r="E28" t="s">
        <v>86</v>
      </c>
      <c r="F28" t="s">
        <v>15</v>
      </c>
      <c r="I28" t="s">
        <v>147</v>
      </c>
      <c r="J28">
        <v>6</v>
      </c>
      <c r="N28">
        <v>6</v>
      </c>
      <c r="O28">
        <v>0</v>
      </c>
      <c r="P28">
        <v>2</v>
      </c>
      <c r="Q28">
        <v>2</v>
      </c>
      <c r="R28">
        <v>2</v>
      </c>
      <c r="S28">
        <v>0</v>
      </c>
      <c r="T28" t="s">
        <v>85</v>
      </c>
    </row>
    <row r="29" spans="1:20" x14ac:dyDescent="0.55000000000000004">
      <c r="A29" t="s">
        <v>11</v>
      </c>
      <c r="B29" t="s">
        <v>12</v>
      </c>
      <c r="C29" t="s">
        <v>57</v>
      </c>
      <c r="D29">
        <v>13</v>
      </c>
      <c r="E29" t="s">
        <v>87</v>
      </c>
      <c r="F29" t="s">
        <v>88</v>
      </c>
      <c r="I29" t="s">
        <v>147</v>
      </c>
      <c r="J29">
        <v>6</v>
      </c>
      <c r="N29">
        <v>6</v>
      </c>
      <c r="O29">
        <v>0</v>
      </c>
      <c r="P29">
        <v>2</v>
      </c>
      <c r="Q29">
        <v>2</v>
      </c>
      <c r="R29">
        <v>2</v>
      </c>
      <c r="S29">
        <v>0</v>
      </c>
      <c r="T29" t="s">
        <v>89</v>
      </c>
    </row>
    <row r="30" spans="1:20" x14ac:dyDescent="0.55000000000000004">
      <c r="A30" t="s">
        <v>11</v>
      </c>
      <c r="B30" t="s">
        <v>12</v>
      </c>
      <c r="C30" t="s">
        <v>57</v>
      </c>
      <c r="D30">
        <v>14</v>
      </c>
      <c r="E30" t="s">
        <v>90</v>
      </c>
      <c r="F30" t="s">
        <v>42</v>
      </c>
      <c r="I30" t="s">
        <v>147</v>
      </c>
      <c r="J30">
        <v>6</v>
      </c>
      <c r="N30">
        <v>6</v>
      </c>
      <c r="O30">
        <v>0</v>
      </c>
      <c r="P30">
        <v>2</v>
      </c>
      <c r="Q30">
        <v>2</v>
      </c>
      <c r="R30">
        <v>2</v>
      </c>
      <c r="S30">
        <v>0</v>
      </c>
      <c r="T30" t="s">
        <v>89</v>
      </c>
    </row>
    <row r="31" spans="1:20" x14ac:dyDescent="0.55000000000000004">
      <c r="A31" t="s">
        <v>11</v>
      </c>
      <c r="B31" t="s">
        <v>12</v>
      </c>
      <c r="C31" t="s">
        <v>57</v>
      </c>
      <c r="D31">
        <v>15</v>
      </c>
      <c r="E31" t="s">
        <v>31</v>
      </c>
      <c r="F31" t="s">
        <v>42</v>
      </c>
      <c r="I31" t="s">
        <v>147</v>
      </c>
      <c r="J31">
        <v>6</v>
      </c>
      <c r="N31">
        <v>6</v>
      </c>
      <c r="O31">
        <v>0</v>
      </c>
      <c r="P31">
        <v>2</v>
      </c>
      <c r="Q31">
        <v>2</v>
      </c>
      <c r="R31">
        <v>2</v>
      </c>
      <c r="S31">
        <v>0</v>
      </c>
      <c r="T31" t="s">
        <v>85</v>
      </c>
    </row>
    <row r="32" spans="1:20" x14ac:dyDescent="0.55000000000000004">
      <c r="A32" t="s">
        <v>11</v>
      </c>
      <c r="B32" t="s">
        <v>12</v>
      </c>
      <c r="C32" t="s">
        <v>57</v>
      </c>
      <c r="D32">
        <v>16</v>
      </c>
      <c r="E32" t="s">
        <v>91</v>
      </c>
      <c r="H32" t="s">
        <v>92</v>
      </c>
      <c r="I32" t="s">
        <v>147</v>
      </c>
      <c r="J32">
        <v>6</v>
      </c>
      <c r="N32">
        <v>6</v>
      </c>
      <c r="O32">
        <v>0</v>
      </c>
      <c r="P32">
        <v>2</v>
      </c>
      <c r="Q32">
        <v>2</v>
      </c>
      <c r="R32">
        <v>2</v>
      </c>
      <c r="S32">
        <v>0</v>
      </c>
      <c r="T32" t="s">
        <v>85</v>
      </c>
    </row>
    <row r="33" spans="1:20" x14ac:dyDescent="0.55000000000000004">
      <c r="A33" t="s">
        <v>11</v>
      </c>
      <c r="B33" t="s">
        <v>12</v>
      </c>
      <c r="C33" t="s">
        <v>57</v>
      </c>
      <c r="D33">
        <v>17</v>
      </c>
      <c r="E33" t="s">
        <v>93</v>
      </c>
      <c r="H33" t="s">
        <v>94</v>
      </c>
      <c r="I33" t="s">
        <v>147</v>
      </c>
      <c r="J33">
        <v>6</v>
      </c>
      <c r="N33">
        <v>6</v>
      </c>
      <c r="O33">
        <v>0</v>
      </c>
      <c r="P33">
        <v>2</v>
      </c>
      <c r="Q33">
        <v>2</v>
      </c>
      <c r="R33">
        <v>2</v>
      </c>
      <c r="S33">
        <v>0</v>
      </c>
      <c r="T33" t="s">
        <v>85</v>
      </c>
    </row>
    <row r="34" spans="1:20" x14ac:dyDescent="0.55000000000000004">
      <c r="A34" t="s">
        <v>11</v>
      </c>
      <c r="B34" t="s">
        <v>12</v>
      </c>
      <c r="C34" t="s">
        <v>57</v>
      </c>
      <c r="D34">
        <v>18</v>
      </c>
      <c r="E34" t="s">
        <v>95</v>
      </c>
      <c r="H34" t="s">
        <v>96</v>
      </c>
      <c r="I34" t="s">
        <v>147</v>
      </c>
      <c r="J34">
        <v>6</v>
      </c>
      <c r="N34">
        <v>6</v>
      </c>
      <c r="O34">
        <v>0</v>
      </c>
      <c r="P34">
        <v>2</v>
      </c>
      <c r="Q34">
        <v>2</v>
      </c>
      <c r="R34">
        <v>2</v>
      </c>
      <c r="S34">
        <v>0</v>
      </c>
      <c r="T34" t="s">
        <v>85</v>
      </c>
    </row>
    <row r="35" spans="1:20" x14ac:dyDescent="0.55000000000000004">
      <c r="A35" t="s">
        <v>11</v>
      </c>
      <c r="B35" t="s">
        <v>12</v>
      </c>
      <c r="C35" t="s">
        <v>57</v>
      </c>
      <c r="D35">
        <v>19</v>
      </c>
      <c r="E35" t="s">
        <v>257</v>
      </c>
      <c r="F35" t="s">
        <v>42</v>
      </c>
      <c r="I35" t="s">
        <v>140</v>
      </c>
      <c r="J35">
        <v>12</v>
      </c>
      <c r="N35">
        <v>12</v>
      </c>
      <c r="O35">
        <v>0</v>
      </c>
      <c r="P35">
        <v>4</v>
      </c>
      <c r="Q35">
        <v>4</v>
      </c>
      <c r="R35">
        <v>4</v>
      </c>
      <c r="S35">
        <v>0</v>
      </c>
    </row>
    <row r="36" spans="1:20" x14ac:dyDescent="0.55000000000000004">
      <c r="A36" t="s">
        <v>11</v>
      </c>
      <c r="B36" t="s">
        <v>12</v>
      </c>
      <c r="C36" t="s">
        <v>100</v>
      </c>
      <c r="D36">
        <v>1</v>
      </c>
      <c r="E36" t="s">
        <v>101</v>
      </c>
      <c r="G36">
        <v>29</v>
      </c>
      <c r="H36" t="s">
        <v>102</v>
      </c>
      <c r="I36" t="s">
        <v>103</v>
      </c>
      <c r="J36">
        <v>22</v>
      </c>
      <c r="N36">
        <v>21</v>
      </c>
      <c r="O36">
        <v>0</v>
      </c>
      <c r="P36">
        <v>7</v>
      </c>
      <c r="Q36">
        <v>7</v>
      </c>
      <c r="R36">
        <v>7</v>
      </c>
      <c r="S36">
        <v>0</v>
      </c>
    </row>
    <row r="37" spans="1:20" x14ac:dyDescent="0.55000000000000004">
      <c r="A37" t="s">
        <v>11</v>
      </c>
      <c r="B37" t="s">
        <v>12</v>
      </c>
      <c r="C37" t="s">
        <v>100</v>
      </c>
      <c r="D37">
        <v>2</v>
      </c>
      <c r="E37" t="s">
        <v>104</v>
      </c>
      <c r="G37">
        <v>6</v>
      </c>
      <c r="H37" t="s">
        <v>268</v>
      </c>
      <c r="I37" t="s">
        <v>105</v>
      </c>
      <c r="J37">
        <v>30</v>
      </c>
      <c r="N37">
        <v>30</v>
      </c>
      <c r="O37">
        <v>0</v>
      </c>
      <c r="P37">
        <v>10</v>
      </c>
      <c r="Q37">
        <v>10</v>
      </c>
      <c r="R37">
        <v>10</v>
      </c>
      <c r="S37">
        <v>0</v>
      </c>
    </row>
    <row r="38" spans="1:20" x14ac:dyDescent="0.55000000000000004">
      <c r="A38" t="s">
        <v>11</v>
      </c>
      <c r="B38" t="s">
        <v>12</v>
      </c>
      <c r="C38" t="s">
        <v>100</v>
      </c>
      <c r="D38">
        <v>3</v>
      </c>
      <c r="E38" t="s">
        <v>106</v>
      </c>
      <c r="I38" t="s">
        <v>147</v>
      </c>
      <c r="J38">
        <v>6</v>
      </c>
      <c r="N38">
        <v>6</v>
      </c>
      <c r="O38">
        <v>0</v>
      </c>
      <c r="P38">
        <v>2</v>
      </c>
      <c r="Q38">
        <v>2</v>
      </c>
      <c r="R38">
        <v>2</v>
      </c>
      <c r="S38">
        <v>0</v>
      </c>
      <c r="T38" t="s">
        <v>85</v>
      </c>
    </row>
    <row r="39" spans="1:20" x14ac:dyDescent="0.55000000000000004">
      <c r="A39" t="s">
        <v>11</v>
      </c>
      <c r="B39" t="s">
        <v>12</v>
      </c>
      <c r="C39" t="s">
        <v>100</v>
      </c>
      <c r="D39">
        <v>4</v>
      </c>
      <c r="E39" t="s">
        <v>9</v>
      </c>
      <c r="I39" t="s">
        <v>147</v>
      </c>
      <c r="J39">
        <v>6</v>
      </c>
      <c r="N39">
        <v>6</v>
      </c>
      <c r="O39">
        <v>0</v>
      </c>
      <c r="P39">
        <v>2</v>
      </c>
      <c r="Q39">
        <v>2</v>
      </c>
      <c r="R39">
        <v>2</v>
      </c>
      <c r="S39">
        <v>0</v>
      </c>
      <c r="T39" t="s">
        <v>85</v>
      </c>
    </row>
    <row r="40" spans="1:20" x14ac:dyDescent="0.55000000000000004">
      <c r="A40" t="s">
        <v>11</v>
      </c>
      <c r="B40" t="s">
        <v>12</v>
      </c>
      <c r="C40" t="s">
        <v>100</v>
      </c>
      <c r="D40">
        <v>5</v>
      </c>
      <c r="E40" t="s">
        <v>29</v>
      </c>
      <c r="F40" t="s">
        <v>84</v>
      </c>
      <c r="I40" t="s">
        <v>155</v>
      </c>
      <c r="J40">
        <v>3</v>
      </c>
      <c r="N40">
        <v>3</v>
      </c>
      <c r="O40">
        <v>0</v>
      </c>
      <c r="P40">
        <v>1</v>
      </c>
      <c r="Q40">
        <v>1</v>
      </c>
      <c r="R40">
        <v>1</v>
      </c>
      <c r="S40">
        <v>0</v>
      </c>
      <c r="T40" t="s">
        <v>85</v>
      </c>
    </row>
    <row r="41" spans="1:20" x14ac:dyDescent="0.55000000000000004">
      <c r="A41" t="s">
        <v>11</v>
      </c>
      <c r="B41" t="s">
        <v>12</v>
      </c>
      <c r="C41" t="s">
        <v>100</v>
      </c>
      <c r="D41">
        <v>6</v>
      </c>
      <c r="E41" t="s">
        <v>107</v>
      </c>
      <c r="F41" t="s">
        <v>107</v>
      </c>
      <c r="I41" t="s">
        <v>271</v>
      </c>
      <c r="J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 t="s">
        <v>85</v>
      </c>
    </row>
    <row r="42" spans="1:20" x14ac:dyDescent="0.55000000000000004">
      <c r="A42" t="s">
        <v>11</v>
      </c>
      <c r="B42" t="s">
        <v>12</v>
      </c>
      <c r="C42" t="s">
        <v>100</v>
      </c>
      <c r="D42">
        <v>7</v>
      </c>
      <c r="E42" t="s">
        <v>31</v>
      </c>
      <c r="F42" t="s">
        <v>42</v>
      </c>
      <c r="I42" t="s">
        <v>155</v>
      </c>
      <c r="J42">
        <v>3</v>
      </c>
      <c r="N42">
        <v>3</v>
      </c>
      <c r="O42">
        <v>0</v>
      </c>
      <c r="P42">
        <v>1</v>
      </c>
      <c r="Q42">
        <v>1</v>
      </c>
      <c r="R42">
        <v>1</v>
      </c>
      <c r="S42">
        <v>0</v>
      </c>
      <c r="T42" t="s">
        <v>85</v>
      </c>
    </row>
    <row r="43" spans="1:20" x14ac:dyDescent="0.55000000000000004">
      <c r="A43" t="s">
        <v>11</v>
      </c>
      <c r="B43" t="s">
        <v>12</v>
      </c>
      <c r="C43" t="s">
        <v>108</v>
      </c>
      <c r="D43">
        <v>1</v>
      </c>
      <c r="E43" t="s">
        <v>109</v>
      </c>
      <c r="F43" t="s">
        <v>15</v>
      </c>
      <c r="I43" t="s">
        <v>155</v>
      </c>
      <c r="J43">
        <v>3</v>
      </c>
      <c r="N43">
        <v>3</v>
      </c>
      <c r="O43">
        <v>0</v>
      </c>
      <c r="P43">
        <v>1</v>
      </c>
      <c r="Q43">
        <v>1</v>
      </c>
      <c r="R43">
        <v>1</v>
      </c>
      <c r="S43">
        <v>0</v>
      </c>
      <c r="T43" t="s">
        <v>85</v>
      </c>
    </row>
    <row r="44" spans="1:20" x14ac:dyDescent="0.55000000000000004">
      <c r="A44" t="s">
        <v>11</v>
      </c>
      <c r="B44" t="s">
        <v>12</v>
      </c>
      <c r="C44" t="s">
        <v>108</v>
      </c>
      <c r="D44">
        <v>2</v>
      </c>
      <c r="E44" t="s">
        <v>29</v>
      </c>
      <c r="F44" t="s">
        <v>29</v>
      </c>
      <c r="I44" t="s">
        <v>155</v>
      </c>
      <c r="J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 t="s">
        <v>110</v>
      </c>
    </row>
    <row r="45" spans="1:20" x14ac:dyDescent="0.55000000000000004">
      <c r="A45" t="s">
        <v>11</v>
      </c>
      <c r="B45" t="s">
        <v>12</v>
      </c>
      <c r="C45" t="s">
        <v>108</v>
      </c>
      <c r="D45">
        <v>3</v>
      </c>
      <c r="E45" t="s">
        <v>111</v>
      </c>
      <c r="F45" t="s">
        <v>15</v>
      </c>
      <c r="I45" t="s">
        <v>155</v>
      </c>
      <c r="J45">
        <v>3</v>
      </c>
      <c r="N45">
        <v>3</v>
      </c>
      <c r="O45">
        <v>0</v>
      </c>
      <c r="P45">
        <v>1</v>
      </c>
      <c r="Q45">
        <v>1</v>
      </c>
      <c r="R45">
        <v>1</v>
      </c>
      <c r="S45">
        <v>0</v>
      </c>
      <c r="T45" t="s">
        <v>85</v>
      </c>
    </row>
    <row r="46" spans="1:20" x14ac:dyDescent="0.55000000000000004">
      <c r="A46" t="s">
        <v>11</v>
      </c>
      <c r="B46" t="s">
        <v>12</v>
      </c>
      <c r="C46" t="s">
        <v>108</v>
      </c>
      <c r="D46">
        <v>4</v>
      </c>
      <c r="E46" t="s">
        <v>112</v>
      </c>
      <c r="F46" t="s">
        <v>112</v>
      </c>
      <c r="H46" t="s">
        <v>113</v>
      </c>
      <c r="I46" t="s">
        <v>147</v>
      </c>
      <c r="J46">
        <v>6</v>
      </c>
      <c r="N46">
        <v>6</v>
      </c>
      <c r="O46">
        <v>0</v>
      </c>
      <c r="P46">
        <v>2</v>
      </c>
      <c r="Q46">
        <v>2</v>
      </c>
      <c r="R46">
        <v>2</v>
      </c>
      <c r="S46">
        <v>0</v>
      </c>
      <c r="T46" t="s">
        <v>85</v>
      </c>
    </row>
    <row r="47" spans="1:20" x14ac:dyDescent="0.55000000000000004">
      <c r="A47" t="s">
        <v>11</v>
      </c>
      <c r="B47" t="s">
        <v>12</v>
      </c>
      <c r="C47" t="s">
        <v>108</v>
      </c>
      <c r="D47">
        <v>5</v>
      </c>
      <c r="E47" t="s">
        <v>114</v>
      </c>
      <c r="F47" t="s">
        <v>115</v>
      </c>
      <c r="H47" t="s">
        <v>116</v>
      </c>
      <c r="I47" t="s">
        <v>147</v>
      </c>
      <c r="J47">
        <v>3</v>
      </c>
      <c r="N47">
        <v>3</v>
      </c>
      <c r="O47">
        <v>0</v>
      </c>
      <c r="P47">
        <v>2</v>
      </c>
      <c r="Q47">
        <v>2</v>
      </c>
      <c r="R47">
        <v>2</v>
      </c>
      <c r="S47">
        <v>0</v>
      </c>
      <c r="T47" t="s">
        <v>89</v>
      </c>
    </row>
    <row r="48" spans="1:20" x14ac:dyDescent="0.55000000000000004">
      <c r="A48" t="s">
        <v>11</v>
      </c>
      <c r="B48" t="s">
        <v>12</v>
      </c>
      <c r="C48" t="s">
        <v>117</v>
      </c>
      <c r="D48">
        <v>1</v>
      </c>
      <c r="E48" t="s">
        <v>118</v>
      </c>
      <c r="F48" t="s">
        <v>119</v>
      </c>
      <c r="G48">
        <v>8</v>
      </c>
      <c r="H48" t="s">
        <v>120</v>
      </c>
      <c r="I48" t="s">
        <v>122</v>
      </c>
      <c r="J48">
        <v>24</v>
      </c>
      <c r="N48">
        <v>24</v>
      </c>
      <c r="O48">
        <v>0</v>
      </c>
      <c r="P48">
        <v>8</v>
      </c>
      <c r="Q48">
        <v>8</v>
      </c>
      <c r="R48">
        <v>8</v>
      </c>
      <c r="S48">
        <v>0</v>
      </c>
    </row>
    <row r="49" spans="1:20" x14ac:dyDescent="0.55000000000000004">
      <c r="A49" t="s">
        <v>11</v>
      </c>
      <c r="B49" t="s">
        <v>12</v>
      </c>
      <c r="C49" t="s">
        <v>117</v>
      </c>
      <c r="D49">
        <v>2</v>
      </c>
      <c r="E49" t="s">
        <v>118</v>
      </c>
      <c r="F49" t="s">
        <v>29</v>
      </c>
      <c r="I49" t="s">
        <v>155</v>
      </c>
      <c r="J49">
        <v>3</v>
      </c>
      <c r="N49">
        <v>3</v>
      </c>
      <c r="O49">
        <v>0</v>
      </c>
      <c r="P49">
        <v>1</v>
      </c>
      <c r="Q49">
        <v>1</v>
      </c>
      <c r="R49">
        <v>1</v>
      </c>
      <c r="S49">
        <v>0</v>
      </c>
    </row>
    <row r="50" spans="1:20" x14ac:dyDescent="0.55000000000000004">
      <c r="A50" t="s">
        <v>11</v>
      </c>
      <c r="B50" t="s">
        <v>12</v>
      </c>
      <c r="C50" t="s">
        <v>117</v>
      </c>
      <c r="D50">
        <v>3</v>
      </c>
      <c r="E50" t="s">
        <v>118</v>
      </c>
      <c r="F50" t="s">
        <v>121</v>
      </c>
      <c r="I50" t="s">
        <v>271</v>
      </c>
      <c r="J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</row>
    <row r="51" spans="1:20" x14ac:dyDescent="0.55000000000000004">
      <c r="A51" t="s">
        <v>11</v>
      </c>
      <c r="B51" s="1" t="s">
        <v>12</v>
      </c>
      <c r="C51" s="1" t="s">
        <v>137</v>
      </c>
      <c r="D51" s="4">
        <v>1</v>
      </c>
      <c r="E51" s="4"/>
      <c r="F51" t="s">
        <v>258</v>
      </c>
      <c r="G51" s="4"/>
      <c r="H51" s="4"/>
      <c r="I51" s="4" t="s">
        <v>259</v>
      </c>
      <c r="J51" s="4">
        <v>14</v>
      </c>
      <c r="K51" s="4"/>
      <c r="L51" s="4"/>
      <c r="M51" s="4"/>
      <c r="N51" s="4">
        <v>14</v>
      </c>
      <c r="O51" s="1">
        <v>0</v>
      </c>
      <c r="P51" s="4">
        <v>7</v>
      </c>
      <c r="Q51" s="4">
        <v>7</v>
      </c>
      <c r="R51" s="4">
        <v>0</v>
      </c>
      <c r="S51" s="4">
        <v>0</v>
      </c>
      <c r="T51" s="4"/>
    </row>
    <row r="52" spans="1:20" x14ac:dyDescent="0.55000000000000004">
      <c r="A52" s="1" t="s">
        <v>11</v>
      </c>
      <c r="B52" s="1" t="s">
        <v>12</v>
      </c>
      <c r="C52" s="1" t="s">
        <v>137</v>
      </c>
      <c r="D52" s="4">
        <v>2</v>
      </c>
      <c r="E52" s="4"/>
      <c r="F52" t="s">
        <v>157</v>
      </c>
      <c r="G52" s="4"/>
      <c r="H52" s="4"/>
      <c r="I52" s="4" t="s">
        <v>260</v>
      </c>
      <c r="J52" s="4">
        <v>6</v>
      </c>
      <c r="K52" s="4"/>
      <c r="L52" s="4"/>
      <c r="M52" s="4"/>
      <c r="N52" s="4">
        <v>6</v>
      </c>
      <c r="O52" s="1">
        <v>0</v>
      </c>
      <c r="P52" s="4">
        <v>3</v>
      </c>
      <c r="Q52" s="4">
        <v>3</v>
      </c>
      <c r="R52" s="4">
        <v>0</v>
      </c>
      <c r="S52" s="4">
        <v>0</v>
      </c>
      <c r="T52" s="4"/>
    </row>
    <row r="53" spans="1:20" x14ac:dyDescent="0.55000000000000004">
      <c r="A53" s="1" t="s">
        <v>11</v>
      </c>
      <c r="B53" s="1" t="s">
        <v>12</v>
      </c>
      <c r="C53" s="1" t="s">
        <v>137</v>
      </c>
      <c r="D53" s="4">
        <v>3</v>
      </c>
      <c r="E53" s="4"/>
      <c r="F53" t="s">
        <v>262</v>
      </c>
      <c r="G53" s="4"/>
      <c r="H53" s="4"/>
      <c r="I53" s="4" t="s">
        <v>260</v>
      </c>
      <c r="J53" s="4">
        <v>6</v>
      </c>
      <c r="K53" s="4"/>
      <c r="L53" s="4"/>
      <c r="M53" s="4"/>
      <c r="N53" s="4">
        <v>6</v>
      </c>
      <c r="O53" s="1">
        <v>0</v>
      </c>
      <c r="P53" s="4">
        <v>3</v>
      </c>
      <c r="Q53" s="4">
        <v>3</v>
      </c>
      <c r="R53" s="4">
        <v>0</v>
      </c>
      <c r="S53" s="4">
        <v>0</v>
      </c>
      <c r="T53" s="4"/>
    </row>
    <row r="54" spans="1:20" x14ac:dyDescent="0.55000000000000004">
      <c r="A54" s="1" t="s">
        <v>11</v>
      </c>
      <c r="B54" s="1" t="s">
        <v>12</v>
      </c>
      <c r="C54" s="1" t="s">
        <v>137</v>
      </c>
      <c r="D54" s="1">
        <v>4</v>
      </c>
      <c r="E54" s="1"/>
      <c r="F54" s="1" t="s">
        <v>261</v>
      </c>
      <c r="G54" s="1"/>
      <c r="H54" s="1"/>
      <c r="I54" s="1" t="s">
        <v>253</v>
      </c>
      <c r="J54" s="1">
        <v>1</v>
      </c>
      <c r="K54" s="1"/>
      <c r="L54" s="1"/>
      <c r="M54" s="1"/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/>
    </row>
    <row r="55" spans="1:20" x14ac:dyDescent="0.55000000000000004">
      <c r="A55" s="1" t="s">
        <v>11</v>
      </c>
      <c r="B55" s="1" t="s">
        <v>12</v>
      </c>
      <c r="C55" s="1" t="s">
        <v>142</v>
      </c>
      <c r="D55" s="1">
        <v>1</v>
      </c>
      <c r="E55" s="1"/>
      <c r="F55" s="1" t="s">
        <v>143</v>
      </c>
      <c r="G55" s="1"/>
      <c r="H55" s="1" t="s">
        <v>144</v>
      </c>
      <c r="I55" s="1" t="s">
        <v>140</v>
      </c>
      <c r="J55" s="1">
        <v>12</v>
      </c>
      <c r="K55" s="1"/>
      <c r="L55" s="1"/>
      <c r="M55" s="1"/>
      <c r="N55" s="1">
        <v>12</v>
      </c>
      <c r="O55" s="1">
        <v>0</v>
      </c>
      <c r="P55" s="1">
        <v>4</v>
      </c>
      <c r="Q55" s="1">
        <v>4</v>
      </c>
      <c r="R55" s="1">
        <v>4</v>
      </c>
      <c r="S55" s="1">
        <v>0</v>
      </c>
      <c r="T55" s="1"/>
    </row>
    <row r="56" spans="1:20" x14ac:dyDescent="0.55000000000000004">
      <c r="A56" s="1" t="s">
        <v>11</v>
      </c>
      <c r="B56" s="1" t="s">
        <v>12</v>
      </c>
      <c r="C56" s="1" t="s">
        <v>142</v>
      </c>
      <c r="D56" s="1">
        <v>2</v>
      </c>
      <c r="E56" s="1"/>
      <c r="F56" s="1" t="s">
        <v>145</v>
      </c>
      <c r="G56" s="1"/>
      <c r="H56" s="1" t="s">
        <v>146</v>
      </c>
      <c r="I56" s="1" t="s">
        <v>147</v>
      </c>
      <c r="J56" s="1">
        <v>6</v>
      </c>
      <c r="K56" s="1"/>
      <c r="L56" s="1"/>
      <c r="M56" s="1"/>
      <c r="N56" s="1">
        <v>6</v>
      </c>
      <c r="O56" s="1">
        <v>0</v>
      </c>
      <c r="P56" s="1">
        <v>2</v>
      </c>
      <c r="Q56" s="1">
        <v>2</v>
      </c>
      <c r="R56" s="1">
        <v>2</v>
      </c>
      <c r="S56" s="1">
        <v>0</v>
      </c>
      <c r="T56" s="1"/>
    </row>
    <row r="57" spans="1:20" x14ac:dyDescent="0.55000000000000004">
      <c r="A57" s="1" t="s">
        <v>11</v>
      </c>
      <c r="B57" s="1" t="s">
        <v>12</v>
      </c>
      <c r="C57" s="1" t="s">
        <v>142</v>
      </c>
      <c r="D57" s="1">
        <v>3</v>
      </c>
      <c r="E57" s="1"/>
      <c r="F57" s="1" t="s">
        <v>148</v>
      </c>
      <c r="G57" s="1"/>
      <c r="H57" s="1" t="s">
        <v>149</v>
      </c>
      <c r="I57" s="1" t="s">
        <v>252</v>
      </c>
      <c r="J57" s="1">
        <v>2</v>
      </c>
      <c r="K57" s="1"/>
      <c r="L57" s="1"/>
      <c r="M57" s="1"/>
      <c r="N57" s="1">
        <v>2</v>
      </c>
      <c r="O57" s="1">
        <v>2</v>
      </c>
      <c r="P57" s="1">
        <v>0</v>
      </c>
      <c r="Q57" s="1">
        <v>0</v>
      </c>
      <c r="R57" s="1">
        <v>0</v>
      </c>
      <c r="S57" s="1">
        <v>0</v>
      </c>
      <c r="T57" s="1"/>
    </row>
    <row r="58" spans="1:20" x14ac:dyDescent="0.55000000000000004">
      <c r="A58" s="1" t="s">
        <v>11</v>
      </c>
      <c r="B58" s="1" t="s">
        <v>12</v>
      </c>
      <c r="C58" s="1" t="s">
        <v>142</v>
      </c>
      <c r="D58" s="1">
        <v>4</v>
      </c>
      <c r="E58" s="1"/>
      <c r="F58" s="1" t="s">
        <v>150</v>
      </c>
      <c r="G58" s="1"/>
      <c r="H58" s="1" t="s">
        <v>151</v>
      </c>
      <c r="I58" s="1" t="s">
        <v>140</v>
      </c>
      <c r="J58" s="1">
        <v>12</v>
      </c>
      <c r="K58" s="1"/>
      <c r="L58" s="1"/>
      <c r="M58" s="1"/>
      <c r="N58" s="1">
        <v>14</v>
      </c>
      <c r="O58" s="1">
        <v>0</v>
      </c>
      <c r="P58" s="1">
        <v>5</v>
      </c>
      <c r="Q58" s="1">
        <v>5</v>
      </c>
      <c r="R58" s="1">
        <v>4</v>
      </c>
      <c r="S58" s="1">
        <v>0</v>
      </c>
      <c r="T58" s="1" t="s">
        <v>141</v>
      </c>
    </row>
    <row r="59" spans="1:20" x14ac:dyDescent="0.55000000000000004">
      <c r="A59" s="1" t="s">
        <v>11</v>
      </c>
      <c r="B59" s="1" t="s">
        <v>12</v>
      </c>
      <c r="C59" s="1" t="s">
        <v>152</v>
      </c>
      <c r="D59" s="1">
        <v>1</v>
      </c>
      <c r="E59" s="1"/>
      <c r="F59" s="1" t="s">
        <v>153</v>
      </c>
      <c r="G59" s="1"/>
      <c r="H59" s="1" t="s">
        <v>154</v>
      </c>
      <c r="I59" s="1" t="s">
        <v>155</v>
      </c>
      <c r="J59" s="1">
        <v>3</v>
      </c>
      <c r="K59" s="1"/>
      <c r="L59" s="1"/>
      <c r="M59" s="1"/>
      <c r="N59" s="1">
        <v>3</v>
      </c>
      <c r="O59" s="1">
        <v>0</v>
      </c>
      <c r="P59" s="1">
        <v>1</v>
      </c>
      <c r="Q59" s="1">
        <v>1</v>
      </c>
      <c r="R59" s="1">
        <v>1</v>
      </c>
      <c r="S59" s="1">
        <v>0</v>
      </c>
      <c r="T59" s="1"/>
    </row>
    <row r="60" spans="1:20" x14ac:dyDescent="0.55000000000000004">
      <c r="A60" s="1" t="s">
        <v>11</v>
      </c>
      <c r="B60" s="1" t="s">
        <v>12</v>
      </c>
      <c r="C60" s="1" t="s">
        <v>152</v>
      </c>
      <c r="D60" s="1">
        <v>2</v>
      </c>
      <c r="E60" s="1"/>
      <c r="F60" s="1" t="s">
        <v>156</v>
      </c>
      <c r="G60" s="1"/>
      <c r="H60" s="1" t="s">
        <v>158</v>
      </c>
      <c r="I60" s="1" t="s">
        <v>253</v>
      </c>
      <c r="J60" s="1">
        <v>1</v>
      </c>
      <c r="K60" s="1"/>
      <c r="L60" s="1"/>
      <c r="M60" s="1"/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/>
    </row>
    <row r="61" spans="1:20" x14ac:dyDescent="0.55000000000000004">
      <c r="A61" s="1" t="s">
        <v>11</v>
      </c>
      <c r="B61" s="1" t="s">
        <v>12</v>
      </c>
      <c r="C61" s="1" t="s">
        <v>152</v>
      </c>
      <c r="D61" s="1">
        <v>3</v>
      </c>
      <c r="E61" s="1"/>
      <c r="F61" s="1" t="s">
        <v>159</v>
      </c>
      <c r="G61" s="1"/>
      <c r="H61" s="1" t="s">
        <v>160</v>
      </c>
      <c r="I61" s="1" t="s">
        <v>155</v>
      </c>
      <c r="J61" s="1">
        <v>3</v>
      </c>
      <c r="K61" s="1"/>
      <c r="L61" s="1"/>
      <c r="M61" s="1"/>
      <c r="N61" s="1">
        <v>3</v>
      </c>
      <c r="O61" s="1">
        <v>0</v>
      </c>
      <c r="P61" s="1">
        <v>1</v>
      </c>
      <c r="Q61" s="1">
        <v>1</v>
      </c>
      <c r="R61" s="1">
        <v>1</v>
      </c>
      <c r="S61" s="1">
        <v>0</v>
      </c>
      <c r="T61" s="1"/>
    </row>
    <row r="62" spans="1:20" x14ac:dyDescent="0.55000000000000004">
      <c r="A62" s="1" t="s">
        <v>11</v>
      </c>
      <c r="B62" s="1" t="s">
        <v>12</v>
      </c>
      <c r="C62" s="1" t="s">
        <v>152</v>
      </c>
      <c r="D62" s="1">
        <v>4</v>
      </c>
      <c r="E62" s="1"/>
      <c r="F62" s="1" t="s">
        <v>161</v>
      </c>
      <c r="G62" s="1"/>
      <c r="H62" s="1" t="s">
        <v>160</v>
      </c>
      <c r="I62" s="1" t="s">
        <v>155</v>
      </c>
      <c r="J62" s="1">
        <v>3</v>
      </c>
      <c r="K62" s="1"/>
      <c r="L62" s="1"/>
      <c r="M62" s="1"/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162</v>
      </c>
    </row>
    <row r="63" spans="1:20" x14ac:dyDescent="0.55000000000000004">
      <c r="A63" s="1" t="s">
        <v>11</v>
      </c>
      <c r="B63" s="1" t="s">
        <v>12</v>
      </c>
      <c r="C63" s="1" t="s">
        <v>152</v>
      </c>
      <c r="D63" s="1">
        <v>5</v>
      </c>
      <c r="E63" s="1"/>
      <c r="F63" s="1" t="s">
        <v>163</v>
      </c>
      <c r="G63" s="1"/>
      <c r="H63" s="1" t="s">
        <v>164</v>
      </c>
      <c r="I63" s="1" t="s">
        <v>140</v>
      </c>
      <c r="J63" s="1">
        <v>12</v>
      </c>
      <c r="K63" s="1"/>
      <c r="L63" s="1"/>
      <c r="M63" s="1"/>
      <c r="N63" s="1">
        <v>12</v>
      </c>
      <c r="O63" s="1">
        <v>0</v>
      </c>
      <c r="P63" s="1">
        <v>4</v>
      </c>
      <c r="Q63" s="1">
        <v>4</v>
      </c>
      <c r="R63" s="1">
        <v>4</v>
      </c>
      <c r="S63" s="1">
        <v>0</v>
      </c>
      <c r="T63" s="1"/>
    </row>
    <row r="64" spans="1:20" x14ac:dyDescent="0.55000000000000004">
      <c r="A64" s="1" t="s">
        <v>11</v>
      </c>
      <c r="B64" s="1" t="s">
        <v>12</v>
      </c>
      <c r="C64" s="1" t="s">
        <v>165</v>
      </c>
      <c r="D64" s="1">
        <v>1</v>
      </c>
      <c r="E64" s="1"/>
      <c r="F64" s="1" t="s">
        <v>166</v>
      </c>
      <c r="G64" s="1"/>
      <c r="H64" s="1" t="s">
        <v>154</v>
      </c>
      <c r="I64" s="1" t="s">
        <v>155</v>
      </c>
      <c r="J64" s="1">
        <v>3</v>
      </c>
      <c r="K64" s="1"/>
      <c r="L64" s="1"/>
      <c r="M64" s="1"/>
      <c r="N64" s="1">
        <v>3</v>
      </c>
      <c r="O64" s="1">
        <v>0</v>
      </c>
      <c r="P64" s="1">
        <v>1</v>
      </c>
      <c r="Q64" s="1">
        <v>1</v>
      </c>
      <c r="R64" s="1">
        <v>1</v>
      </c>
      <c r="S64" s="1">
        <v>0</v>
      </c>
      <c r="T64" s="1"/>
    </row>
    <row r="65" spans="1:20" x14ac:dyDescent="0.55000000000000004">
      <c r="A65" s="1" t="s">
        <v>11</v>
      </c>
      <c r="B65" s="1" t="s">
        <v>12</v>
      </c>
      <c r="C65" s="1" t="s">
        <v>165</v>
      </c>
      <c r="D65" s="1">
        <v>2</v>
      </c>
      <c r="E65" s="1"/>
      <c r="F65" s="1" t="s">
        <v>167</v>
      </c>
      <c r="G65" s="1"/>
      <c r="H65" s="1" t="s">
        <v>168</v>
      </c>
      <c r="I65" s="1" t="s">
        <v>169</v>
      </c>
      <c r="J65" s="1">
        <v>9</v>
      </c>
      <c r="K65" s="1"/>
      <c r="L65" s="1"/>
      <c r="M65" s="1"/>
      <c r="N65" s="1">
        <v>9</v>
      </c>
      <c r="O65" s="1">
        <v>0</v>
      </c>
      <c r="P65" s="1">
        <v>3</v>
      </c>
      <c r="Q65" s="1">
        <v>3</v>
      </c>
      <c r="R65" s="1">
        <v>3</v>
      </c>
      <c r="S65" s="1">
        <v>0</v>
      </c>
      <c r="T65" s="1"/>
    </row>
    <row r="66" spans="1:20" x14ac:dyDescent="0.55000000000000004">
      <c r="A66" s="1" t="s">
        <v>11</v>
      </c>
      <c r="B66" s="1" t="s">
        <v>12</v>
      </c>
      <c r="C66" s="1" t="s">
        <v>170</v>
      </c>
      <c r="D66" s="1">
        <v>1</v>
      </c>
      <c r="E66" s="1"/>
      <c r="F66" s="1" t="s">
        <v>138</v>
      </c>
      <c r="G66" s="1"/>
      <c r="H66" s="1" t="s">
        <v>171</v>
      </c>
      <c r="I66" s="1" t="s">
        <v>172</v>
      </c>
      <c r="J66" s="1">
        <v>4</v>
      </c>
      <c r="K66" s="1"/>
      <c r="L66" s="1"/>
      <c r="M66" s="1"/>
      <c r="N66" s="1">
        <v>4</v>
      </c>
      <c r="O66" s="1">
        <v>0</v>
      </c>
      <c r="P66" s="1">
        <v>2</v>
      </c>
      <c r="Q66" s="1">
        <v>2</v>
      </c>
      <c r="R66" s="1">
        <v>0</v>
      </c>
      <c r="S66" s="1">
        <v>0</v>
      </c>
      <c r="T66" s="1" t="s">
        <v>173</v>
      </c>
    </row>
    <row r="67" spans="1:20" x14ac:dyDescent="0.55000000000000004">
      <c r="A67" s="1" t="s">
        <v>11</v>
      </c>
      <c r="B67" s="1" t="s">
        <v>12</v>
      </c>
      <c r="C67" s="1" t="s">
        <v>170</v>
      </c>
      <c r="D67" s="1">
        <v>2</v>
      </c>
      <c r="E67" s="1"/>
      <c r="F67" s="1" t="s">
        <v>29</v>
      </c>
      <c r="G67" s="1"/>
      <c r="H67" s="1" t="s">
        <v>174</v>
      </c>
      <c r="I67" s="1" t="s">
        <v>253</v>
      </c>
      <c r="J67" s="1">
        <v>1</v>
      </c>
      <c r="K67" s="1"/>
      <c r="L67" s="1"/>
      <c r="M67" s="1"/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162</v>
      </c>
    </row>
    <row r="68" spans="1:20" x14ac:dyDescent="0.55000000000000004">
      <c r="A68" s="1" t="s">
        <v>11</v>
      </c>
      <c r="B68" s="1" t="s">
        <v>12</v>
      </c>
      <c r="C68" s="1" t="s">
        <v>170</v>
      </c>
      <c r="D68" s="1">
        <v>3</v>
      </c>
      <c r="E68" s="1"/>
      <c r="F68" s="1" t="s">
        <v>175</v>
      </c>
      <c r="G68" s="1"/>
      <c r="H68" s="1" t="s">
        <v>176</v>
      </c>
      <c r="I68" s="1" t="s">
        <v>177</v>
      </c>
      <c r="J68" s="1">
        <v>8</v>
      </c>
      <c r="K68" s="1"/>
      <c r="L68" s="1"/>
      <c r="M68" s="1"/>
      <c r="N68" s="1">
        <v>8</v>
      </c>
      <c r="O68" s="1">
        <v>0</v>
      </c>
      <c r="P68" s="1">
        <v>4</v>
      </c>
      <c r="Q68" s="1">
        <v>4</v>
      </c>
      <c r="R68" s="1">
        <v>0</v>
      </c>
      <c r="S68" s="1">
        <v>0</v>
      </c>
      <c r="T68" s="1" t="s">
        <v>173</v>
      </c>
    </row>
    <row r="69" spans="1:20" x14ac:dyDescent="0.55000000000000004">
      <c r="A69" s="1" t="s">
        <v>11</v>
      </c>
      <c r="B69" s="1" t="s">
        <v>12</v>
      </c>
      <c r="C69" s="1" t="s">
        <v>178</v>
      </c>
      <c r="D69" s="1">
        <v>1</v>
      </c>
      <c r="E69" s="1"/>
      <c r="F69" s="1" t="s">
        <v>179</v>
      </c>
      <c r="G69" s="1"/>
      <c r="H69" s="1" t="s">
        <v>139</v>
      </c>
      <c r="I69" s="1" t="s">
        <v>140</v>
      </c>
      <c r="J69" s="1">
        <v>12</v>
      </c>
      <c r="K69" s="1"/>
      <c r="L69" s="1"/>
      <c r="M69" s="1"/>
      <c r="N69" s="1">
        <v>12</v>
      </c>
      <c r="O69" s="1">
        <v>0</v>
      </c>
      <c r="P69" s="1">
        <v>4</v>
      </c>
      <c r="Q69" s="1">
        <v>4</v>
      </c>
      <c r="R69" s="1">
        <v>4</v>
      </c>
      <c r="S69" s="1">
        <v>0</v>
      </c>
      <c r="T69" s="1"/>
    </row>
    <row r="70" spans="1:20" x14ac:dyDescent="0.55000000000000004">
      <c r="A70" s="1" t="s">
        <v>11</v>
      </c>
      <c r="B70" s="1" t="s">
        <v>12</v>
      </c>
      <c r="C70" s="1" t="s">
        <v>178</v>
      </c>
      <c r="D70" s="1">
        <v>2</v>
      </c>
      <c r="E70" s="1"/>
      <c r="F70" s="1" t="s">
        <v>180</v>
      </c>
      <c r="G70" s="1"/>
      <c r="H70" s="1" t="s">
        <v>139</v>
      </c>
      <c r="I70" s="1" t="s">
        <v>140</v>
      </c>
      <c r="J70" s="1">
        <v>12</v>
      </c>
      <c r="K70" s="1"/>
      <c r="L70" s="1"/>
      <c r="M70" s="1"/>
      <c r="N70" s="1">
        <v>12</v>
      </c>
      <c r="O70" s="1">
        <v>0</v>
      </c>
      <c r="P70" s="1">
        <v>4</v>
      </c>
      <c r="Q70" s="1">
        <v>4</v>
      </c>
      <c r="R70" s="1">
        <v>4</v>
      </c>
      <c r="S70" s="1">
        <v>0</v>
      </c>
      <c r="T70" s="1"/>
    </row>
    <row r="71" spans="1:20" x14ac:dyDescent="0.55000000000000004">
      <c r="A71" s="1" t="s">
        <v>11</v>
      </c>
      <c r="B71" s="1" t="s">
        <v>12</v>
      </c>
      <c r="C71" s="1" t="s">
        <v>181</v>
      </c>
      <c r="D71" s="1">
        <v>1</v>
      </c>
      <c r="E71" s="1"/>
      <c r="F71" s="1" t="s">
        <v>182</v>
      </c>
      <c r="G71" s="1"/>
      <c r="H71" s="1" t="s">
        <v>183</v>
      </c>
      <c r="I71" s="1" t="s">
        <v>147</v>
      </c>
      <c r="J71" s="1">
        <v>6</v>
      </c>
      <c r="K71" s="1"/>
      <c r="L71" s="1"/>
      <c r="M71" s="1"/>
      <c r="N71" s="1">
        <v>6</v>
      </c>
      <c r="O71" s="1">
        <v>0</v>
      </c>
      <c r="P71" s="1">
        <v>2</v>
      </c>
      <c r="Q71" s="1">
        <v>2</v>
      </c>
      <c r="R71" s="1">
        <v>2</v>
      </c>
      <c r="S71" s="1">
        <v>0</v>
      </c>
      <c r="T71" s="1"/>
    </row>
    <row r="72" spans="1:20" x14ac:dyDescent="0.55000000000000004">
      <c r="A72" s="1" t="s">
        <v>11</v>
      </c>
      <c r="B72" s="1" t="s">
        <v>12</v>
      </c>
      <c r="C72" s="1" t="s">
        <v>181</v>
      </c>
      <c r="D72" s="1">
        <v>2</v>
      </c>
      <c r="E72" s="1"/>
      <c r="F72" s="1" t="s">
        <v>184</v>
      </c>
      <c r="G72" s="1"/>
      <c r="H72" s="1" t="s">
        <v>185</v>
      </c>
      <c r="I72" s="1" t="s">
        <v>155</v>
      </c>
      <c r="J72" s="1">
        <v>3</v>
      </c>
      <c r="K72" s="1"/>
      <c r="L72" s="1"/>
      <c r="M72" s="1"/>
      <c r="N72" s="1">
        <v>4</v>
      </c>
      <c r="O72" s="1">
        <v>0</v>
      </c>
      <c r="P72" s="1">
        <v>2</v>
      </c>
      <c r="Q72" s="1">
        <v>1</v>
      </c>
      <c r="R72" s="1">
        <v>1</v>
      </c>
      <c r="S72" s="1">
        <v>0</v>
      </c>
      <c r="T72" s="1" t="s">
        <v>141</v>
      </c>
    </row>
    <row r="73" spans="1:20" x14ac:dyDescent="0.55000000000000004">
      <c r="A73" s="1" t="s">
        <v>11</v>
      </c>
      <c r="B73" s="1" t="s">
        <v>12</v>
      </c>
      <c r="C73" s="1" t="s">
        <v>181</v>
      </c>
      <c r="D73" s="1">
        <v>3</v>
      </c>
      <c r="E73" s="1"/>
      <c r="F73" s="1" t="s">
        <v>186</v>
      </c>
      <c r="G73" s="1"/>
      <c r="H73" s="1" t="s">
        <v>185</v>
      </c>
      <c r="I73" s="1" t="s">
        <v>155</v>
      </c>
      <c r="J73" s="1">
        <v>3</v>
      </c>
      <c r="K73" s="1"/>
      <c r="L73" s="1"/>
      <c r="M73" s="1"/>
      <c r="N73" s="1">
        <v>3</v>
      </c>
      <c r="O73" s="1">
        <v>0</v>
      </c>
      <c r="P73" s="1">
        <v>1</v>
      </c>
      <c r="Q73" s="1">
        <v>1</v>
      </c>
      <c r="R73" s="1">
        <v>1</v>
      </c>
      <c r="S73" s="1">
        <v>0</v>
      </c>
      <c r="T73" s="1"/>
    </row>
    <row r="74" spans="1:20" x14ac:dyDescent="0.55000000000000004">
      <c r="A74" s="1" t="s">
        <v>11</v>
      </c>
      <c r="B74" s="1" t="s">
        <v>12</v>
      </c>
      <c r="C74" s="1" t="s">
        <v>181</v>
      </c>
      <c r="D74" s="1">
        <v>4</v>
      </c>
      <c r="E74" s="1"/>
      <c r="F74" s="1" t="s">
        <v>187</v>
      </c>
      <c r="G74" s="1"/>
      <c r="H74" s="1" t="s">
        <v>188</v>
      </c>
      <c r="I74" s="1" t="s">
        <v>189</v>
      </c>
      <c r="J74" s="1">
        <v>2</v>
      </c>
      <c r="K74" s="1"/>
      <c r="L74" s="1"/>
      <c r="M74" s="1"/>
      <c r="N74" s="1">
        <v>2</v>
      </c>
      <c r="O74" s="1">
        <v>0</v>
      </c>
      <c r="P74" s="1">
        <v>1</v>
      </c>
      <c r="Q74" s="1">
        <v>1</v>
      </c>
      <c r="R74" s="1">
        <v>0</v>
      </c>
      <c r="S74" s="1">
        <v>0</v>
      </c>
      <c r="T74" s="1"/>
    </row>
    <row r="75" spans="1:20" x14ac:dyDescent="0.55000000000000004">
      <c r="A75" s="1" t="s">
        <v>11</v>
      </c>
      <c r="B75" s="1" t="s">
        <v>12</v>
      </c>
      <c r="C75" s="1" t="s">
        <v>181</v>
      </c>
      <c r="D75" s="1">
        <v>5</v>
      </c>
      <c r="E75" s="1"/>
      <c r="F75" s="1" t="s">
        <v>190</v>
      </c>
      <c r="G75" s="1"/>
      <c r="H75" s="1" t="s">
        <v>191</v>
      </c>
      <c r="I75" s="1" t="s">
        <v>169</v>
      </c>
      <c r="J75" s="1">
        <v>9</v>
      </c>
      <c r="K75" s="1"/>
      <c r="L75" s="1"/>
      <c r="M75" s="1"/>
      <c r="N75" s="1">
        <v>7</v>
      </c>
      <c r="O75" s="1">
        <v>0</v>
      </c>
      <c r="P75" s="1">
        <v>3</v>
      </c>
      <c r="Q75" s="1">
        <v>3</v>
      </c>
      <c r="R75" s="1">
        <v>1</v>
      </c>
      <c r="S75" s="1">
        <v>0</v>
      </c>
      <c r="T75" s="1" t="s">
        <v>141</v>
      </c>
    </row>
    <row r="76" spans="1:20" x14ac:dyDescent="0.55000000000000004">
      <c r="A76" s="1" t="s">
        <v>11</v>
      </c>
      <c r="B76" s="1" t="s">
        <v>12</v>
      </c>
      <c r="C76" s="1" t="s">
        <v>181</v>
      </c>
      <c r="D76" s="1">
        <v>6</v>
      </c>
      <c r="E76" s="1"/>
      <c r="F76" s="1" t="s">
        <v>192</v>
      </c>
      <c r="G76" s="1"/>
      <c r="H76" s="1" t="s">
        <v>185</v>
      </c>
      <c r="I76" s="1" t="s">
        <v>155</v>
      </c>
      <c r="J76" s="1">
        <v>3</v>
      </c>
      <c r="K76" s="1"/>
      <c r="L76" s="1"/>
      <c r="M76" s="1"/>
      <c r="N76" s="1">
        <v>3</v>
      </c>
      <c r="O76" s="1">
        <v>0</v>
      </c>
      <c r="P76" s="1">
        <v>1</v>
      </c>
      <c r="Q76" s="1">
        <v>1</v>
      </c>
      <c r="R76" s="1">
        <v>1</v>
      </c>
      <c r="S76" s="1">
        <v>0</v>
      </c>
      <c r="T76" s="1"/>
    </row>
    <row r="77" spans="1:20" x14ac:dyDescent="0.55000000000000004">
      <c r="A77" s="1" t="s">
        <v>11</v>
      </c>
      <c r="B77" s="1" t="s">
        <v>12</v>
      </c>
      <c r="C77" s="1" t="s">
        <v>181</v>
      </c>
      <c r="D77" s="1">
        <v>7</v>
      </c>
      <c r="E77" s="1"/>
      <c r="F77" s="1" t="s">
        <v>193</v>
      </c>
      <c r="G77" s="1"/>
      <c r="H77" s="1" t="s">
        <v>185</v>
      </c>
      <c r="I77" s="1" t="s">
        <v>155</v>
      </c>
      <c r="J77" s="1">
        <v>3</v>
      </c>
      <c r="K77" s="1"/>
      <c r="L77" s="1"/>
      <c r="M77" s="1"/>
      <c r="N77" s="1">
        <v>3</v>
      </c>
      <c r="O77" s="1">
        <v>0</v>
      </c>
      <c r="P77" s="1">
        <v>1</v>
      </c>
      <c r="Q77" s="1">
        <v>1</v>
      </c>
      <c r="R77" s="1">
        <v>1</v>
      </c>
      <c r="S77" s="1">
        <v>0</v>
      </c>
      <c r="T77" s="1"/>
    </row>
    <row r="78" spans="1:20" x14ac:dyDescent="0.55000000000000004">
      <c r="A78" s="1" t="s">
        <v>11</v>
      </c>
      <c r="B78" s="1" t="s">
        <v>12</v>
      </c>
      <c r="C78" s="1" t="s">
        <v>181</v>
      </c>
      <c r="D78" s="1">
        <v>8</v>
      </c>
      <c r="E78" s="1"/>
      <c r="F78" s="1" t="s">
        <v>148</v>
      </c>
      <c r="G78" s="1"/>
      <c r="H78" s="1" t="s">
        <v>194</v>
      </c>
      <c r="I78" s="1" t="s">
        <v>273</v>
      </c>
      <c r="J78" s="1">
        <v>10</v>
      </c>
      <c r="K78" s="1"/>
      <c r="L78" s="1"/>
      <c r="M78" s="1"/>
      <c r="N78" s="1">
        <v>10</v>
      </c>
      <c r="O78" s="1">
        <v>0</v>
      </c>
      <c r="P78" s="1">
        <v>4</v>
      </c>
      <c r="Q78" s="1">
        <v>3</v>
      </c>
      <c r="R78" s="1">
        <v>3</v>
      </c>
      <c r="S78" s="1">
        <v>0</v>
      </c>
      <c r="T78" s="1" t="s">
        <v>173</v>
      </c>
    </row>
    <row r="79" spans="1:20" x14ac:dyDescent="0.55000000000000004">
      <c r="A79" s="1" t="s">
        <v>11</v>
      </c>
      <c r="B79" s="1" t="s">
        <v>12</v>
      </c>
      <c r="C79" s="4" t="s">
        <v>195</v>
      </c>
      <c r="D79" s="4">
        <v>1</v>
      </c>
      <c r="E79" s="4" t="s">
        <v>240</v>
      </c>
      <c r="F79" s="4" t="s">
        <v>241</v>
      </c>
      <c r="G79" s="4"/>
      <c r="H79" s="4"/>
      <c r="I79" t="s">
        <v>155</v>
      </c>
      <c r="J79" s="4"/>
      <c r="K79" s="4"/>
      <c r="L79" s="4"/>
      <c r="M79" s="4"/>
      <c r="N79" s="4">
        <v>1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/>
    </row>
    <row r="80" spans="1:20" x14ac:dyDescent="0.55000000000000004">
      <c r="A80" s="1" t="s">
        <v>11</v>
      </c>
      <c r="B80" s="1" t="s">
        <v>12</v>
      </c>
      <c r="C80" s="4" t="s">
        <v>195</v>
      </c>
      <c r="D80" s="4">
        <v>2</v>
      </c>
      <c r="E80" s="4" t="s">
        <v>240</v>
      </c>
      <c r="F80" s="4" t="s">
        <v>242</v>
      </c>
      <c r="G80" s="4"/>
      <c r="H80" s="4"/>
      <c r="I80" t="s">
        <v>274</v>
      </c>
      <c r="J80" s="4"/>
      <c r="K80" s="4"/>
      <c r="L80" s="4"/>
      <c r="M80" s="4"/>
      <c r="N80" s="4">
        <v>9</v>
      </c>
      <c r="O80" s="4">
        <v>9</v>
      </c>
      <c r="P80" s="4">
        <v>0</v>
      </c>
      <c r="Q80" s="4">
        <v>0</v>
      </c>
      <c r="R80" s="4">
        <v>0</v>
      </c>
      <c r="S80" s="4">
        <v>0</v>
      </c>
      <c r="T80" s="4"/>
    </row>
    <row r="81" spans="1:20" x14ac:dyDescent="0.55000000000000004">
      <c r="A81" s="1" t="s">
        <v>11</v>
      </c>
      <c r="B81" s="1" t="s">
        <v>12</v>
      </c>
      <c r="C81" s="4" t="s">
        <v>195</v>
      </c>
      <c r="D81" s="4">
        <v>3</v>
      </c>
      <c r="E81" s="4" t="s">
        <v>240</v>
      </c>
      <c r="F81" s="4" t="s">
        <v>243</v>
      </c>
      <c r="G81" s="4"/>
      <c r="H81" s="4"/>
      <c r="I81" t="s">
        <v>252</v>
      </c>
      <c r="J81" s="4"/>
      <c r="K81" s="4"/>
      <c r="L81" s="4"/>
      <c r="M81" s="4"/>
      <c r="N81" s="4">
        <v>2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/>
    </row>
    <row r="82" spans="1:20" x14ac:dyDescent="0.55000000000000004">
      <c r="A82" s="1" t="s">
        <v>11</v>
      </c>
      <c r="B82" s="1" t="s">
        <v>12</v>
      </c>
      <c r="C82" s="4" t="s">
        <v>195</v>
      </c>
      <c r="D82" s="4">
        <v>1</v>
      </c>
      <c r="E82" s="4" t="s">
        <v>244</v>
      </c>
      <c r="F82" s="4" t="s">
        <v>241</v>
      </c>
      <c r="G82" s="4"/>
      <c r="H82" s="4"/>
      <c r="I82" t="s">
        <v>253</v>
      </c>
      <c r="J82" s="4"/>
      <c r="K82" s="4"/>
      <c r="L82" s="4"/>
      <c r="M82" s="4"/>
      <c r="N82" s="4">
        <v>1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/>
    </row>
    <row r="83" spans="1:20" x14ac:dyDescent="0.55000000000000004">
      <c r="A83" s="1" t="s">
        <v>11</v>
      </c>
      <c r="B83" s="1" t="s">
        <v>12</v>
      </c>
      <c r="C83" s="4" t="s">
        <v>195</v>
      </c>
      <c r="D83" s="4">
        <v>2</v>
      </c>
      <c r="E83" s="4" t="s">
        <v>244</v>
      </c>
      <c r="F83" s="4" t="s">
        <v>242</v>
      </c>
      <c r="G83" s="4"/>
      <c r="H83" s="4"/>
      <c r="I83" t="s">
        <v>275</v>
      </c>
      <c r="J83" s="4"/>
      <c r="K83" s="4"/>
      <c r="L83" s="4"/>
      <c r="M83" s="4"/>
      <c r="N83" s="4">
        <v>6</v>
      </c>
      <c r="O83" s="4">
        <v>6</v>
      </c>
      <c r="P83" s="4">
        <v>0</v>
      </c>
      <c r="Q83" s="4">
        <v>0</v>
      </c>
      <c r="R83" s="4">
        <v>0</v>
      </c>
      <c r="S83" s="4">
        <v>0</v>
      </c>
      <c r="T83" s="4"/>
    </row>
    <row r="84" spans="1:20" x14ac:dyDescent="0.55000000000000004">
      <c r="A84" s="1" t="s">
        <v>11</v>
      </c>
      <c r="B84" s="1" t="s">
        <v>12</v>
      </c>
      <c r="C84" s="4" t="s">
        <v>195</v>
      </c>
      <c r="D84" s="4">
        <v>3</v>
      </c>
      <c r="E84" s="4" t="s">
        <v>244</v>
      </c>
      <c r="F84" s="4" t="s">
        <v>243</v>
      </c>
      <c r="G84" s="4"/>
      <c r="H84" s="4"/>
      <c r="I84" t="s">
        <v>155</v>
      </c>
      <c r="J84" s="4"/>
      <c r="K84" s="4"/>
      <c r="L84" s="4"/>
      <c r="M84" s="4"/>
      <c r="N84" s="4">
        <v>3</v>
      </c>
      <c r="O84" s="4">
        <v>0</v>
      </c>
      <c r="P84" s="4">
        <v>1</v>
      </c>
      <c r="Q84" s="4">
        <v>1</v>
      </c>
      <c r="R84" s="4">
        <v>1</v>
      </c>
      <c r="S84" s="4">
        <v>0</v>
      </c>
      <c r="T84" s="4"/>
    </row>
    <row r="85" spans="1:20" x14ac:dyDescent="0.55000000000000004">
      <c r="A85" s="1" t="s">
        <v>11</v>
      </c>
      <c r="B85" s="1" t="s">
        <v>12</v>
      </c>
      <c r="C85" s="4" t="s">
        <v>195</v>
      </c>
      <c r="D85" s="4">
        <v>1</v>
      </c>
      <c r="E85" s="4" t="s">
        <v>245</v>
      </c>
      <c r="F85" s="4" t="s">
        <v>241</v>
      </c>
      <c r="G85" s="4"/>
      <c r="H85" s="4"/>
      <c r="I85" t="s">
        <v>252</v>
      </c>
      <c r="J85" s="4"/>
      <c r="K85" s="4"/>
      <c r="L85" s="4"/>
      <c r="M85" s="4"/>
      <c r="N85" s="4">
        <v>2</v>
      </c>
      <c r="O85" s="4">
        <v>2</v>
      </c>
      <c r="P85" s="4">
        <v>0</v>
      </c>
      <c r="Q85" s="4">
        <v>0</v>
      </c>
      <c r="R85" s="4">
        <v>0</v>
      </c>
      <c r="S85" s="4">
        <v>0</v>
      </c>
      <c r="T85" s="4"/>
    </row>
    <row r="86" spans="1:20" x14ac:dyDescent="0.55000000000000004">
      <c r="A86" s="1" t="s">
        <v>11</v>
      </c>
      <c r="B86" s="1" t="s">
        <v>12</v>
      </c>
      <c r="C86" s="4" t="s">
        <v>195</v>
      </c>
      <c r="D86" s="4">
        <v>2</v>
      </c>
      <c r="E86" s="4" t="s">
        <v>245</v>
      </c>
      <c r="F86" s="4" t="s">
        <v>242</v>
      </c>
      <c r="G86" s="4"/>
      <c r="H86" s="4"/>
      <c r="I86" t="s">
        <v>274</v>
      </c>
      <c r="J86" s="4"/>
      <c r="K86" s="4"/>
      <c r="L86" s="4"/>
      <c r="M86" s="4"/>
      <c r="N86" s="4">
        <v>9</v>
      </c>
      <c r="O86" s="4">
        <v>9</v>
      </c>
      <c r="P86" s="4">
        <v>0</v>
      </c>
      <c r="Q86" s="4">
        <v>0</v>
      </c>
      <c r="R86" s="4">
        <v>0</v>
      </c>
      <c r="S86" s="4">
        <v>0</v>
      </c>
      <c r="T86" s="4"/>
    </row>
    <row r="87" spans="1:20" x14ac:dyDescent="0.55000000000000004">
      <c r="A87" s="1" t="s">
        <v>11</v>
      </c>
      <c r="B87" s="1" t="s">
        <v>12</v>
      </c>
      <c r="C87" s="4" t="s">
        <v>195</v>
      </c>
      <c r="D87" s="4">
        <v>3</v>
      </c>
      <c r="E87" s="4" t="s">
        <v>245</v>
      </c>
      <c r="F87" s="4" t="s">
        <v>243</v>
      </c>
      <c r="G87" s="4"/>
      <c r="H87" s="4"/>
      <c r="I87" t="s">
        <v>155</v>
      </c>
      <c r="J87" s="4"/>
      <c r="K87" s="4"/>
      <c r="L87" s="4"/>
      <c r="M87" s="4"/>
      <c r="N87" s="4">
        <v>3</v>
      </c>
      <c r="O87" s="4">
        <v>0</v>
      </c>
      <c r="P87" s="4">
        <v>1</v>
      </c>
      <c r="Q87" s="4">
        <v>1</v>
      </c>
      <c r="R87" s="4">
        <v>1</v>
      </c>
      <c r="S87" s="4">
        <v>0</v>
      </c>
      <c r="T87" s="4"/>
    </row>
    <row r="88" spans="1:20" x14ac:dyDescent="0.55000000000000004">
      <c r="A88" s="1" t="s">
        <v>11</v>
      </c>
      <c r="B88" s="1" t="s">
        <v>12</v>
      </c>
      <c r="C88" s="4" t="s">
        <v>195</v>
      </c>
      <c r="D88" s="4">
        <v>4</v>
      </c>
      <c r="E88" s="4" t="s">
        <v>245</v>
      </c>
      <c r="F88" s="4" t="s">
        <v>246</v>
      </c>
      <c r="G88" s="4"/>
      <c r="H88" s="4"/>
      <c r="I88" t="s">
        <v>155</v>
      </c>
      <c r="J88" s="4"/>
      <c r="K88" s="4"/>
      <c r="L88" s="4"/>
      <c r="M88" s="4"/>
      <c r="N88" s="4">
        <v>3</v>
      </c>
      <c r="O88" s="4">
        <v>0</v>
      </c>
      <c r="P88" s="4">
        <v>1</v>
      </c>
      <c r="Q88" s="4">
        <v>1</v>
      </c>
      <c r="R88" s="4">
        <v>1</v>
      </c>
      <c r="S88" s="4">
        <v>0</v>
      </c>
      <c r="T88" s="4"/>
    </row>
    <row r="89" spans="1:20" x14ac:dyDescent="0.55000000000000004">
      <c r="A89" s="1" t="s">
        <v>11</v>
      </c>
      <c r="B89" s="1" t="s">
        <v>12</v>
      </c>
      <c r="C89" s="4" t="s">
        <v>195</v>
      </c>
      <c r="D89" s="4">
        <v>5</v>
      </c>
      <c r="E89" s="4" t="s">
        <v>245</v>
      </c>
      <c r="F89" s="4" t="s">
        <v>247</v>
      </c>
      <c r="G89" s="4"/>
      <c r="H89" s="4"/>
      <c r="I89" t="s">
        <v>252</v>
      </c>
      <c r="J89" s="4"/>
      <c r="K89" s="4"/>
      <c r="L89" s="4"/>
      <c r="M89" s="4"/>
      <c r="N89" s="4">
        <v>2</v>
      </c>
      <c r="O89" s="4">
        <v>2</v>
      </c>
      <c r="P89" s="4">
        <v>0</v>
      </c>
      <c r="Q89" s="4">
        <v>0</v>
      </c>
      <c r="R89" s="4">
        <v>0</v>
      </c>
      <c r="S89" s="4">
        <v>0</v>
      </c>
      <c r="T89" s="4"/>
    </row>
    <row r="90" spans="1:20" x14ac:dyDescent="0.55000000000000004">
      <c r="A90" s="1" t="s">
        <v>11</v>
      </c>
      <c r="B90" s="1" t="s">
        <v>12</v>
      </c>
      <c r="C90" s="4" t="s">
        <v>195</v>
      </c>
      <c r="D90" s="4">
        <v>6</v>
      </c>
      <c r="E90" s="4" t="s">
        <v>245</v>
      </c>
      <c r="F90" s="4" t="s">
        <v>248</v>
      </c>
      <c r="G90" s="4"/>
      <c r="H90" s="4"/>
      <c r="I90" t="s">
        <v>252</v>
      </c>
      <c r="J90" s="4"/>
      <c r="K90" s="4"/>
      <c r="L90" s="4"/>
      <c r="M90" s="4"/>
      <c r="N90" s="4">
        <v>2</v>
      </c>
      <c r="O90" s="4">
        <v>2</v>
      </c>
      <c r="P90" s="4">
        <v>0</v>
      </c>
      <c r="Q90" s="4">
        <v>0</v>
      </c>
      <c r="R90" s="4">
        <v>0</v>
      </c>
      <c r="S90" s="4">
        <v>0</v>
      </c>
      <c r="T90" s="4"/>
    </row>
    <row r="91" spans="1:20" x14ac:dyDescent="0.55000000000000004">
      <c r="A91" s="1" t="s">
        <v>11</v>
      </c>
      <c r="B91" s="1" t="s">
        <v>12</v>
      </c>
      <c r="C91" s="4" t="s">
        <v>195</v>
      </c>
      <c r="D91" s="4">
        <v>7</v>
      </c>
      <c r="E91" s="4" t="s">
        <v>245</v>
      </c>
      <c r="F91" s="4" t="s">
        <v>249</v>
      </c>
      <c r="G91" s="4"/>
      <c r="H91" s="4"/>
      <c r="I91" t="s">
        <v>252</v>
      </c>
      <c r="J91" s="4"/>
      <c r="K91" s="4"/>
      <c r="L91" s="4"/>
      <c r="M91" s="4"/>
      <c r="N91" s="4">
        <v>2</v>
      </c>
      <c r="O91" s="4">
        <v>2</v>
      </c>
      <c r="P91" s="4">
        <v>0</v>
      </c>
      <c r="Q91" s="4">
        <v>0</v>
      </c>
      <c r="R91" s="4">
        <v>0</v>
      </c>
      <c r="S91" s="4">
        <v>0</v>
      </c>
      <c r="T91" s="4"/>
    </row>
    <row r="92" spans="1:20" x14ac:dyDescent="0.55000000000000004">
      <c r="A92" s="1" t="s">
        <v>11</v>
      </c>
      <c r="B92" s="1" t="s">
        <v>12</v>
      </c>
      <c r="C92" s="4" t="s">
        <v>195</v>
      </c>
      <c r="D92" s="4">
        <v>1</v>
      </c>
      <c r="E92" s="4" t="s">
        <v>250</v>
      </c>
      <c r="F92" s="4" t="s">
        <v>241</v>
      </c>
      <c r="G92" s="4"/>
      <c r="H92" s="4"/>
      <c r="I92" t="s">
        <v>253</v>
      </c>
      <c r="J92" s="4"/>
      <c r="K92" s="4"/>
      <c r="L92" s="4"/>
      <c r="M92" s="4"/>
      <c r="N92" s="4">
        <v>1</v>
      </c>
      <c r="O92" s="4">
        <v>1</v>
      </c>
      <c r="P92" s="4">
        <v>0</v>
      </c>
      <c r="Q92" s="4">
        <v>0</v>
      </c>
      <c r="R92" s="4">
        <v>0</v>
      </c>
      <c r="S92" s="4">
        <v>0</v>
      </c>
      <c r="T92" s="4"/>
    </row>
    <row r="93" spans="1:20" x14ac:dyDescent="0.55000000000000004">
      <c r="A93" s="1" t="s">
        <v>11</v>
      </c>
      <c r="B93" s="1" t="s">
        <v>12</v>
      </c>
      <c r="C93" s="4" t="s">
        <v>195</v>
      </c>
      <c r="D93" s="4">
        <v>2</v>
      </c>
      <c r="E93" s="4" t="s">
        <v>250</v>
      </c>
      <c r="F93" s="4" t="s">
        <v>242</v>
      </c>
      <c r="G93" s="4"/>
      <c r="H93" s="4"/>
      <c r="I93" t="s">
        <v>275</v>
      </c>
      <c r="J93" s="4"/>
      <c r="K93" s="4"/>
      <c r="L93" s="4"/>
      <c r="M93" s="4"/>
      <c r="N93" s="4">
        <v>6</v>
      </c>
      <c r="O93" s="4">
        <v>6</v>
      </c>
      <c r="P93" s="4">
        <v>0</v>
      </c>
      <c r="Q93" s="4">
        <v>0</v>
      </c>
      <c r="R93" s="4">
        <v>0</v>
      </c>
      <c r="S93" s="4">
        <v>0</v>
      </c>
      <c r="T93" s="4"/>
    </row>
    <row r="94" spans="1:20" x14ac:dyDescent="0.55000000000000004">
      <c r="A94" s="1" t="s">
        <v>11</v>
      </c>
      <c r="B94" s="1" t="s">
        <v>12</v>
      </c>
      <c r="C94" s="4" t="s">
        <v>195</v>
      </c>
      <c r="D94" s="4">
        <v>3</v>
      </c>
      <c r="E94" s="4" t="s">
        <v>250</v>
      </c>
      <c r="F94" s="4" t="s">
        <v>243</v>
      </c>
      <c r="G94" s="4"/>
      <c r="H94" s="4"/>
      <c r="I94" t="s">
        <v>253</v>
      </c>
      <c r="J94" s="4"/>
      <c r="K94" s="4"/>
      <c r="L94" s="4"/>
      <c r="M94" s="4"/>
      <c r="N94" s="4">
        <v>1</v>
      </c>
      <c r="O94" s="4">
        <v>0</v>
      </c>
      <c r="P94" s="4">
        <v>1</v>
      </c>
      <c r="Q94" s="4">
        <v>1</v>
      </c>
      <c r="R94" s="4">
        <v>1</v>
      </c>
      <c r="S94" s="4">
        <v>0</v>
      </c>
      <c r="T94" s="4"/>
    </row>
    <row r="95" spans="1:20" x14ac:dyDescent="0.55000000000000004">
      <c r="A95" s="1" t="s">
        <v>11</v>
      </c>
      <c r="B95" s="1" t="s">
        <v>12</v>
      </c>
      <c r="C95" s="4" t="s">
        <v>195</v>
      </c>
      <c r="D95" s="4">
        <v>1</v>
      </c>
      <c r="E95" s="4" t="s">
        <v>251</v>
      </c>
      <c r="F95" s="4" t="s">
        <v>241</v>
      </c>
      <c r="G95" s="4"/>
      <c r="H95" s="4"/>
      <c r="I95" t="s">
        <v>253</v>
      </c>
      <c r="J95" s="4"/>
      <c r="K95" s="4"/>
      <c r="L95" s="4"/>
      <c r="M95" s="4"/>
      <c r="N95" s="4">
        <v>1</v>
      </c>
      <c r="O95" s="4">
        <v>1</v>
      </c>
      <c r="P95" s="4">
        <v>0</v>
      </c>
      <c r="Q95" s="4">
        <v>0</v>
      </c>
      <c r="R95" s="4">
        <v>0</v>
      </c>
      <c r="S95" s="4">
        <v>0</v>
      </c>
      <c r="T95" s="4"/>
    </row>
    <row r="96" spans="1:20" x14ac:dyDescent="0.55000000000000004">
      <c r="A96" s="1" t="s">
        <v>11</v>
      </c>
      <c r="B96" s="1" t="s">
        <v>12</v>
      </c>
      <c r="C96" s="4" t="s">
        <v>195</v>
      </c>
      <c r="D96" s="4">
        <v>2</v>
      </c>
      <c r="E96" s="4" t="s">
        <v>251</v>
      </c>
      <c r="F96" s="4" t="s">
        <v>242</v>
      </c>
      <c r="G96" s="4"/>
      <c r="H96" s="4"/>
      <c r="I96" t="s">
        <v>272</v>
      </c>
      <c r="J96" s="4"/>
      <c r="K96" s="4"/>
      <c r="L96" s="4"/>
      <c r="M96" s="4"/>
      <c r="N96" s="4">
        <v>5</v>
      </c>
      <c r="O96" s="4">
        <v>5</v>
      </c>
      <c r="P96" s="4">
        <v>0</v>
      </c>
      <c r="Q96" s="4">
        <v>0</v>
      </c>
      <c r="R96" s="4">
        <v>0</v>
      </c>
      <c r="S96" s="4">
        <v>0</v>
      </c>
      <c r="T96" s="4"/>
    </row>
    <row r="97" spans="1:20" x14ac:dyDescent="0.55000000000000004">
      <c r="A97" s="1" t="s">
        <v>11</v>
      </c>
      <c r="B97" s="1" t="s">
        <v>12</v>
      </c>
      <c r="C97" s="4" t="s">
        <v>195</v>
      </c>
      <c r="D97" s="4">
        <v>3</v>
      </c>
      <c r="E97" s="4" t="s">
        <v>251</v>
      </c>
      <c r="F97" s="4" t="s">
        <v>243</v>
      </c>
      <c r="G97" s="4"/>
      <c r="H97" s="4"/>
      <c r="I97" t="s">
        <v>155</v>
      </c>
      <c r="J97" s="4"/>
      <c r="K97" s="4"/>
      <c r="L97" s="4"/>
      <c r="M97" s="4"/>
      <c r="N97" s="4">
        <v>3</v>
      </c>
      <c r="O97" s="4">
        <v>0</v>
      </c>
      <c r="P97" s="4">
        <v>1</v>
      </c>
      <c r="Q97" s="4">
        <v>1</v>
      </c>
      <c r="R97" s="4">
        <v>1</v>
      </c>
      <c r="S97" s="4">
        <v>0</v>
      </c>
      <c r="T97" s="4"/>
    </row>
    <row r="98" spans="1:20" x14ac:dyDescent="0.55000000000000004">
      <c r="A98" s="1" t="s">
        <v>11</v>
      </c>
      <c r="B98" s="1" t="s">
        <v>12</v>
      </c>
      <c r="C98" s="4" t="s">
        <v>195</v>
      </c>
      <c r="D98" s="4">
        <v>1</v>
      </c>
      <c r="E98" s="4" t="s">
        <v>123</v>
      </c>
      <c r="F98" s="4" t="s">
        <v>241</v>
      </c>
      <c r="G98" s="4"/>
      <c r="H98" s="4"/>
      <c r="I98" t="s">
        <v>252</v>
      </c>
      <c r="J98" s="4"/>
      <c r="K98" s="4"/>
      <c r="L98" s="4"/>
      <c r="M98" s="4"/>
      <c r="N98" s="4">
        <v>2</v>
      </c>
      <c r="O98" s="4">
        <v>2</v>
      </c>
      <c r="P98" s="4">
        <v>0</v>
      </c>
      <c r="Q98" s="4">
        <v>0</v>
      </c>
      <c r="R98" s="4">
        <v>0</v>
      </c>
      <c r="S98" s="4">
        <v>0</v>
      </c>
      <c r="T98" s="4"/>
    </row>
    <row r="99" spans="1:20" x14ac:dyDescent="0.55000000000000004">
      <c r="A99" s="1" t="s">
        <v>11</v>
      </c>
      <c r="B99" s="1" t="s">
        <v>12</v>
      </c>
      <c r="C99" s="4" t="s">
        <v>195</v>
      </c>
      <c r="D99" s="4">
        <v>2</v>
      </c>
      <c r="E99" s="4" t="s">
        <v>123</v>
      </c>
      <c r="F99" s="4" t="s">
        <v>242</v>
      </c>
      <c r="G99" s="4"/>
      <c r="H99" s="4"/>
      <c r="I99" t="s">
        <v>275</v>
      </c>
      <c r="J99" s="4"/>
      <c r="K99" s="4"/>
      <c r="L99" s="4"/>
      <c r="M99" s="4"/>
      <c r="N99" s="4">
        <v>6</v>
      </c>
      <c r="O99" s="4">
        <v>6</v>
      </c>
      <c r="P99" s="4">
        <v>0</v>
      </c>
      <c r="Q99" s="4">
        <v>0</v>
      </c>
      <c r="R99" s="4">
        <v>0</v>
      </c>
      <c r="S99" s="4">
        <v>0</v>
      </c>
      <c r="T99" s="4"/>
    </row>
    <row r="100" spans="1:20" x14ac:dyDescent="0.55000000000000004">
      <c r="A100" s="1" t="s">
        <v>11</v>
      </c>
      <c r="B100" s="1" t="s">
        <v>12</v>
      </c>
      <c r="C100" s="4" t="s">
        <v>195</v>
      </c>
      <c r="D100" s="4">
        <v>3</v>
      </c>
      <c r="E100" s="4" t="s">
        <v>123</v>
      </c>
      <c r="F100" s="4" t="s">
        <v>243</v>
      </c>
      <c r="G100" s="4"/>
      <c r="H100" s="4"/>
      <c r="I100" t="s">
        <v>155</v>
      </c>
      <c r="J100" s="4"/>
      <c r="K100" s="4"/>
      <c r="L100" s="4"/>
      <c r="M100" s="4"/>
      <c r="N100" s="4">
        <v>3</v>
      </c>
      <c r="O100" s="4">
        <v>0</v>
      </c>
      <c r="P100" s="4">
        <v>1</v>
      </c>
      <c r="Q100" s="4">
        <v>1</v>
      </c>
      <c r="R100" s="4">
        <v>1</v>
      </c>
      <c r="S100" s="4">
        <v>0</v>
      </c>
      <c r="T100" s="4"/>
    </row>
    <row r="101" spans="1:20" x14ac:dyDescent="0.55000000000000004">
      <c r="A101" s="1" t="s">
        <v>11</v>
      </c>
      <c r="B101" s="1" t="s">
        <v>12</v>
      </c>
      <c r="C101" s="4" t="s">
        <v>195</v>
      </c>
      <c r="D101" s="4">
        <v>4</v>
      </c>
      <c r="E101" s="4" t="s">
        <v>123</v>
      </c>
      <c r="F101" s="4" t="s">
        <v>247</v>
      </c>
      <c r="G101" s="4"/>
      <c r="H101" s="4"/>
      <c r="I101" t="s">
        <v>253</v>
      </c>
      <c r="J101" s="4"/>
      <c r="K101" s="4"/>
      <c r="L101" s="4"/>
      <c r="M101" s="4"/>
      <c r="N101" s="4">
        <v>1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/>
    </row>
    <row r="102" spans="1:20" x14ac:dyDescent="0.55000000000000004">
      <c r="A102" s="1" t="s">
        <v>11</v>
      </c>
      <c r="B102" s="1" t="s">
        <v>12</v>
      </c>
      <c r="C102" s="1" t="s">
        <v>195</v>
      </c>
      <c r="D102" s="1">
        <v>4</v>
      </c>
      <c r="E102" s="1" t="s">
        <v>123</v>
      </c>
      <c r="F102" s="1" t="s">
        <v>247</v>
      </c>
      <c r="G102" s="1"/>
      <c r="H102" s="1"/>
      <c r="I102" t="s">
        <v>253</v>
      </c>
      <c r="J102" s="1"/>
      <c r="K102" s="1"/>
      <c r="L102" s="1"/>
      <c r="M102" s="1"/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/>
    </row>
    <row r="103" spans="1:20" x14ac:dyDescent="0.55000000000000004">
      <c r="A103" s="1" t="s">
        <v>11</v>
      </c>
      <c r="B103" s="1" t="s">
        <v>12</v>
      </c>
      <c r="C103" s="4" t="s">
        <v>123</v>
      </c>
      <c r="D103" s="4">
        <v>1</v>
      </c>
      <c r="E103" s="4" t="s">
        <v>124</v>
      </c>
      <c r="F103" s="4" t="s">
        <v>125</v>
      </c>
      <c r="G103" s="4"/>
      <c r="H103" s="4"/>
      <c r="I103" s="4" t="s">
        <v>263</v>
      </c>
      <c r="J103" s="4"/>
      <c r="K103" s="4"/>
      <c r="L103" s="4"/>
      <c r="M103" s="4"/>
      <c r="N103" s="4">
        <f>TFO!J23</f>
        <v>62</v>
      </c>
      <c r="O103" s="4">
        <v>0</v>
      </c>
      <c r="P103" s="4">
        <v>21</v>
      </c>
      <c r="Q103" s="4">
        <v>21</v>
      </c>
      <c r="R103" s="4">
        <v>20</v>
      </c>
      <c r="S103" s="4">
        <v>0</v>
      </c>
      <c r="T103" s="4"/>
    </row>
    <row r="104" spans="1:20" x14ac:dyDescent="0.55000000000000004">
      <c r="A104" s="1" t="s">
        <v>11</v>
      </c>
      <c r="B104" s="1" t="s">
        <v>12</v>
      </c>
      <c r="C104" s="4" t="s">
        <v>123</v>
      </c>
      <c r="D104" s="4">
        <v>2</v>
      </c>
      <c r="E104" s="4" t="s">
        <v>126</v>
      </c>
      <c r="F104" s="4" t="s">
        <v>125</v>
      </c>
      <c r="G104" s="4"/>
      <c r="H104" s="4"/>
      <c r="I104" s="4" t="s">
        <v>264</v>
      </c>
      <c r="J104" s="4"/>
      <c r="K104" s="4"/>
      <c r="L104" s="4"/>
      <c r="M104" s="4"/>
      <c r="N104" s="4">
        <f>TFO!J24</f>
        <v>2</v>
      </c>
      <c r="O104" s="4">
        <v>0</v>
      </c>
      <c r="P104" s="4">
        <v>1</v>
      </c>
      <c r="Q104" s="4">
        <v>1</v>
      </c>
      <c r="R104" s="4">
        <v>0</v>
      </c>
      <c r="S104" s="4">
        <v>0</v>
      </c>
      <c r="T104" s="4"/>
    </row>
    <row r="105" spans="1:20" x14ac:dyDescent="0.55000000000000004">
      <c r="A105" s="1" t="s">
        <v>11</v>
      </c>
      <c r="B105" s="1" t="s">
        <v>12</v>
      </c>
      <c r="C105" s="4" t="s">
        <v>123</v>
      </c>
      <c r="D105" s="4">
        <v>3</v>
      </c>
      <c r="E105" s="4" t="s">
        <v>123</v>
      </c>
      <c r="F105" s="4" t="s">
        <v>127</v>
      </c>
      <c r="G105" s="4"/>
      <c r="H105" s="4"/>
      <c r="I105" s="4" t="s">
        <v>265</v>
      </c>
      <c r="J105" s="4"/>
      <c r="K105" s="4"/>
      <c r="L105" s="4"/>
      <c r="M105" s="4"/>
      <c r="N105" s="4">
        <f>TFO!J25</f>
        <v>33</v>
      </c>
      <c r="O105" s="4">
        <v>0</v>
      </c>
      <c r="P105" s="4">
        <v>12</v>
      </c>
      <c r="Q105" s="4">
        <v>12</v>
      </c>
      <c r="R105" s="4">
        <v>12</v>
      </c>
      <c r="S105" s="4">
        <v>0</v>
      </c>
      <c r="T105" s="4"/>
    </row>
    <row r="106" spans="1:20" x14ac:dyDescent="0.55000000000000004">
      <c r="A106" s="1" t="s">
        <v>11</v>
      </c>
      <c r="B106" s="1" t="s">
        <v>12</v>
      </c>
      <c r="C106" s="4" t="s">
        <v>123</v>
      </c>
      <c r="D106" s="4">
        <v>4</v>
      </c>
      <c r="E106" s="4" t="s">
        <v>123</v>
      </c>
      <c r="F106" s="4" t="s">
        <v>128</v>
      </c>
      <c r="G106" s="4"/>
      <c r="H106" s="4"/>
      <c r="I106" s="4" t="s">
        <v>266</v>
      </c>
      <c r="J106" s="4"/>
      <c r="K106" s="4"/>
      <c r="L106" s="4"/>
      <c r="M106" s="4"/>
      <c r="N106" s="4">
        <f>TFO!J26</f>
        <v>51</v>
      </c>
      <c r="O106" s="4">
        <v>0</v>
      </c>
      <c r="P106" s="4">
        <v>17</v>
      </c>
      <c r="Q106" s="4">
        <v>17</v>
      </c>
      <c r="R106" s="4">
        <v>17</v>
      </c>
      <c r="S106" s="4">
        <v>0</v>
      </c>
      <c r="T106" s="4"/>
    </row>
    <row r="107" spans="1:20" x14ac:dyDescent="0.55000000000000004">
      <c r="A107" s="1" t="s">
        <v>11</v>
      </c>
      <c r="B107" s="1" t="s">
        <v>12</v>
      </c>
      <c r="C107" s="4" t="s">
        <v>123</v>
      </c>
      <c r="D107" s="4">
        <v>5</v>
      </c>
      <c r="E107" s="4" t="s">
        <v>129</v>
      </c>
      <c r="F107" s="4" t="s">
        <v>127</v>
      </c>
      <c r="G107" s="4"/>
      <c r="H107" s="4"/>
      <c r="I107" t="s">
        <v>147</v>
      </c>
      <c r="J107" s="4"/>
      <c r="K107" s="4"/>
      <c r="L107" s="4"/>
      <c r="M107" s="4"/>
      <c r="N107" s="4">
        <f>TFO!J27</f>
        <v>6</v>
      </c>
      <c r="O107" s="4">
        <v>0</v>
      </c>
      <c r="P107" s="4">
        <v>2</v>
      </c>
      <c r="Q107" s="4">
        <v>2</v>
      </c>
      <c r="R107" s="4">
        <v>2</v>
      </c>
      <c r="S107" s="4">
        <v>0</v>
      </c>
      <c r="T107" s="4"/>
    </row>
    <row r="108" spans="1:20" x14ac:dyDescent="0.55000000000000004">
      <c r="A108" s="1" t="s">
        <v>11</v>
      </c>
      <c r="B108" s="1" t="s">
        <v>12</v>
      </c>
      <c r="C108" s="4" t="s">
        <v>123</v>
      </c>
      <c r="D108" s="4">
        <v>6</v>
      </c>
      <c r="E108" s="4" t="s">
        <v>130</v>
      </c>
      <c r="F108" s="4" t="s">
        <v>127</v>
      </c>
      <c r="G108" s="4"/>
      <c r="H108" s="4"/>
      <c r="I108" t="s">
        <v>147</v>
      </c>
      <c r="J108" s="4"/>
      <c r="K108" s="4"/>
      <c r="L108" s="4"/>
      <c r="M108" s="4"/>
      <c r="N108" s="4">
        <f>TFO!J28</f>
        <v>6</v>
      </c>
      <c r="O108" s="4">
        <v>0</v>
      </c>
      <c r="P108" s="4">
        <v>2</v>
      </c>
      <c r="Q108" s="4">
        <v>2</v>
      </c>
      <c r="R108" s="4">
        <v>2</v>
      </c>
      <c r="S108" s="4">
        <v>0</v>
      </c>
      <c r="T108" s="4"/>
    </row>
    <row r="109" spans="1:20" x14ac:dyDescent="0.55000000000000004">
      <c r="A109" s="1" t="s">
        <v>11</v>
      </c>
      <c r="B109" s="1" t="s">
        <v>12</v>
      </c>
      <c r="C109" s="4" t="s">
        <v>123</v>
      </c>
      <c r="D109" s="4">
        <v>7</v>
      </c>
      <c r="E109" s="4" t="s">
        <v>29</v>
      </c>
      <c r="F109" s="4" t="s">
        <v>29</v>
      </c>
      <c r="G109" s="4"/>
      <c r="H109" s="4"/>
      <c r="I109" t="s">
        <v>155</v>
      </c>
      <c r="J109" s="4"/>
      <c r="K109" s="4"/>
      <c r="L109" s="4"/>
      <c r="M109" s="4"/>
      <c r="N109" s="4">
        <f>TFO!J29</f>
        <v>3</v>
      </c>
      <c r="O109" s="4">
        <v>0</v>
      </c>
      <c r="P109" s="4">
        <v>1</v>
      </c>
      <c r="Q109" s="4">
        <v>1</v>
      </c>
      <c r="R109" s="4">
        <v>1</v>
      </c>
      <c r="S109" s="4">
        <v>0</v>
      </c>
      <c r="T109" s="4"/>
    </row>
    <row r="110" spans="1:20" x14ac:dyDescent="0.55000000000000004">
      <c r="A110" s="1" t="s">
        <v>11</v>
      </c>
      <c r="B110" s="1" t="s">
        <v>12</v>
      </c>
      <c r="C110" s="4" t="s">
        <v>123</v>
      </c>
      <c r="D110" s="4">
        <v>8</v>
      </c>
      <c r="E110" s="4" t="s">
        <v>131</v>
      </c>
      <c r="F110" s="4" t="s">
        <v>106</v>
      </c>
      <c r="G110" s="4"/>
      <c r="H110" s="4"/>
      <c r="I110" t="s">
        <v>155</v>
      </c>
      <c r="J110" s="4"/>
      <c r="K110" s="4"/>
      <c r="L110" s="4"/>
      <c r="M110" s="4"/>
      <c r="N110" s="4">
        <f>TFO!J30</f>
        <v>3</v>
      </c>
      <c r="O110" s="4">
        <v>0</v>
      </c>
      <c r="P110" s="4">
        <v>1</v>
      </c>
      <c r="Q110" s="4">
        <v>1</v>
      </c>
      <c r="R110" s="4">
        <v>1</v>
      </c>
      <c r="S110" s="4">
        <v>0</v>
      </c>
      <c r="T110" s="4"/>
    </row>
    <row r="111" spans="1:20" x14ac:dyDescent="0.55000000000000004">
      <c r="A111" s="1" t="s">
        <v>11</v>
      </c>
      <c r="B111" s="1" t="s">
        <v>12</v>
      </c>
      <c r="C111" s="4" t="s">
        <v>123</v>
      </c>
      <c r="D111" s="4">
        <v>9</v>
      </c>
      <c r="E111" s="4" t="s">
        <v>132</v>
      </c>
      <c r="F111" s="4" t="s">
        <v>133</v>
      </c>
      <c r="G111" s="4"/>
      <c r="H111" s="4"/>
      <c r="I111" t="s">
        <v>147</v>
      </c>
      <c r="J111" s="4"/>
      <c r="K111" s="4"/>
      <c r="L111" s="4"/>
      <c r="M111" s="4"/>
      <c r="N111" s="4">
        <f>TFO!J31</f>
        <v>6</v>
      </c>
      <c r="O111" s="4">
        <v>0</v>
      </c>
      <c r="P111" s="4">
        <v>2</v>
      </c>
      <c r="Q111" s="4">
        <v>2</v>
      </c>
      <c r="R111" s="4">
        <v>2</v>
      </c>
      <c r="S111" s="4">
        <v>0</v>
      </c>
      <c r="T111" s="4"/>
    </row>
    <row r="112" spans="1:20" x14ac:dyDescent="0.55000000000000004">
      <c r="A112" s="1" t="s">
        <v>11</v>
      </c>
      <c r="B112" s="1" t="s">
        <v>12</v>
      </c>
      <c r="C112" s="4" t="s">
        <v>123</v>
      </c>
      <c r="D112" s="4">
        <v>10</v>
      </c>
      <c r="E112" s="4" t="s">
        <v>134</v>
      </c>
      <c r="F112" s="4"/>
      <c r="G112" s="4"/>
      <c r="H112" s="4"/>
      <c r="I112" t="s">
        <v>155</v>
      </c>
      <c r="J112" s="4"/>
      <c r="K112" s="4"/>
      <c r="L112" s="4"/>
      <c r="M112" s="4"/>
      <c r="N112" s="4">
        <f>TFO!J32</f>
        <v>3</v>
      </c>
      <c r="O112" s="4">
        <v>0</v>
      </c>
      <c r="P112" s="4">
        <v>1</v>
      </c>
      <c r="Q112" s="4">
        <v>1</v>
      </c>
      <c r="R112" s="4">
        <v>1</v>
      </c>
      <c r="S112" s="4">
        <v>0</v>
      </c>
      <c r="T112" s="4"/>
    </row>
    <row r="113" spans="1:20" x14ac:dyDescent="0.55000000000000004">
      <c r="A113" s="1" t="s">
        <v>11</v>
      </c>
      <c r="B113" s="1" t="s">
        <v>12</v>
      </c>
      <c r="C113" s="4" t="s">
        <v>123</v>
      </c>
      <c r="D113" s="4">
        <v>11</v>
      </c>
      <c r="E113" s="4" t="s">
        <v>135</v>
      </c>
      <c r="F113" s="4"/>
      <c r="G113" s="4"/>
      <c r="H113" s="4"/>
      <c r="I113" t="s">
        <v>253</v>
      </c>
      <c r="J113" s="4"/>
      <c r="K113" s="4"/>
      <c r="L113" s="4"/>
      <c r="M113" s="4"/>
      <c r="N113" s="4">
        <f>TFO!J33</f>
        <v>1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/>
    </row>
    <row r="114" spans="1:20" x14ac:dyDescent="0.55000000000000004">
      <c r="A114" s="1" t="s">
        <v>11</v>
      </c>
      <c r="B114" s="1" t="s">
        <v>12</v>
      </c>
      <c r="C114" s="4" t="s">
        <v>123</v>
      </c>
      <c r="D114" s="4">
        <v>12</v>
      </c>
      <c r="E114" s="4" t="s">
        <v>112</v>
      </c>
      <c r="F114" s="4"/>
      <c r="G114" s="4"/>
      <c r="H114" s="4"/>
      <c r="I114" t="s">
        <v>140</v>
      </c>
      <c r="J114" s="4"/>
      <c r="K114" s="4"/>
      <c r="L114" s="4"/>
      <c r="M114" s="4"/>
      <c r="N114" s="4">
        <f>TFO!J34</f>
        <v>12</v>
      </c>
      <c r="O114" s="4">
        <v>0</v>
      </c>
      <c r="P114" s="4">
        <v>4</v>
      </c>
      <c r="Q114" s="4">
        <v>4</v>
      </c>
      <c r="R114" s="4">
        <v>4</v>
      </c>
      <c r="S114" s="4">
        <v>0</v>
      </c>
      <c r="T114" s="4"/>
    </row>
    <row r="115" spans="1:20" x14ac:dyDescent="0.55000000000000004">
      <c r="A115" s="1" t="s">
        <v>11</v>
      </c>
      <c r="B115" s="1" t="s">
        <v>12</v>
      </c>
      <c r="C115" s="4" t="s">
        <v>123</v>
      </c>
      <c r="D115" s="4">
        <v>13</v>
      </c>
      <c r="E115" s="4" t="s">
        <v>136</v>
      </c>
      <c r="F115" s="4" t="s">
        <v>29</v>
      </c>
      <c r="G115" s="4"/>
      <c r="H115" s="4"/>
      <c r="I115" t="s">
        <v>271</v>
      </c>
      <c r="J115" s="4"/>
      <c r="K115" s="4"/>
      <c r="L115" s="4"/>
      <c r="M115" s="4"/>
      <c r="N115" s="4">
        <f>TFO!J35</f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/>
    </row>
    <row r="116" spans="1:20" x14ac:dyDescent="0.55000000000000004">
      <c r="A116" s="1" t="s">
        <v>11</v>
      </c>
      <c r="B116" s="1" t="s">
        <v>12</v>
      </c>
      <c r="C116" s="4" t="s">
        <v>123</v>
      </c>
      <c r="D116" s="4">
        <v>15</v>
      </c>
      <c r="E116" s="4" t="s">
        <v>157</v>
      </c>
      <c r="F116" s="4" t="s">
        <v>157</v>
      </c>
      <c r="G116" s="4"/>
      <c r="H116" s="4"/>
      <c r="I116" t="s">
        <v>253</v>
      </c>
      <c r="J116" s="4"/>
      <c r="K116" s="4"/>
      <c r="L116" s="4"/>
      <c r="M116" s="4"/>
      <c r="N116" s="4">
        <f>TFO!J36</f>
        <v>1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/>
    </row>
    <row r="117" spans="1:20" x14ac:dyDescent="0.55000000000000004">
      <c r="A117" s="1" t="s">
        <v>11</v>
      </c>
      <c r="B117" s="1" t="s">
        <v>12</v>
      </c>
      <c r="C117" s="4" t="s">
        <v>123</v>
      </c>
      <c r="D117" s="4">
        <v>16</v>
      </c>
      <c r="E117" s="4" t="s">
        <v>31</v>
      </c>
      <c r="F117" s="4" t="s">
        <v>42</v>
      </c>
      <c r="G117" s="4"/>
      <c r="H117" s="4"/>
      <c r="I117" t="s">
        <v>147</v>
      </c>
      <c r="J117" s="4"/>
      <c r="K117" s="4"/>
      <c r="L117" s="4"/>
      <c r="M117" s="4"/>
      <c r="N117" s="4">
        <f>TFO!J37</f>
        <v>6</v>
      </c>
      <c r="O117" s="4">
        <v>0</v>
      </c>
      <c r="P117" s="4">
        <v>2</v>
      </c>
      <c r="Q117" s="4">
        <v>2</v>
      </c>
      <c r="R117" s="4">
        <v>2</v>
      </c>
      <c r="S117" s="4">
        <v>0</v>
      </c>
      <c r="T117" s="4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3EE0-D320-4977-9825-4200D3368BED}">
  <dimension ref="A1:X37"/>
  <sheetViews>
    <sheetView topLeftCell="A7" zoomScale="86" zoomScaleNormal="55" workbookViewId="0">
      <selection activeCell="E22" sqref="A22:Q37"/>
    </sheetView>
  </sheetViews>
  <sheetFormatPr defaultRowHeight="14.4" x14ac:dyDescent="0.55000000000000004"/>
  <cols>
    <col min="1" max="1" width="17.41796875" bestFit="1" customWidth="1"/>
    <col min="2" max="2" width="11.3125" customWidth="1"/>
    <col min="3" max="3" width="12" bestFit="1" customWidth="1"/>
    <col min="4" max="4" width="8.3125" customWidth="1"/>
    <col min="5" max="5" width="19.41796875" customWidth="1"/>
    <col min="6" max="6" width="12" customWidth="1"/>
    <col min="7" max="7" width="11.3125" customWidth="1"/>
    <col min="8" max="8" width="38" bestFit="1" customWidth="1"/>
    <col min="9" max="9" width="46.68359375" customWidth="1"/>
    <col min="10" max="10" width="43.3125" bestFit="1" customWidth="1"/>
    <col min="11" max="11" width="31.3125" customWidth="1"/>
    <col min="12" max="12" width="34.68359375" customWidth="1"/>
    <col min="13" max="13" width="23.20703125" customWidth="1"/>
    <col min="14" max="14" width="34.89453125" customWidth="1"/>
    <col min="15" max="15" width="26.7890625" customWidth="1"/>
    <col min="16" max="16" width="39.3125" customWidth="1"/>
    <col min="17" max="17" width="13.7890625" customWidth="1"/>
    <col min="18" max="18" width="33.41796875" bestFit="1" customWidth="1"/>
    <col min="19" max="19" width="45.1015625" customWidth="1"/>
    <col min="20" max="20" width="40.41796875" bestFit="1" customWidth="1"/>
    <col min="21" max="21" width="49.89453125" customWidth="1"/>
    <col min="22" max="22" width="25.1015625" customWidth="1"/>
    <col min="23" max="23" width="17" customWidth="1"/>
    <col min="24" max="24" width="15.5234375" customWidth="1"/>
  </cols>
  <sheetData>
    <row r="1" spans="1:24" x14ac:dyDescent="0.55000000000000004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276</v>
      </c>
      <c r="K1" t="s">
        <v>205</v>
      </c>
      <c r="L1" t="s">
        <v>206</v>
      </c>
      <c r="M1" t="s">
        <v>279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</row>
    <row r="2" spans="1:24" x14ac:dyDescent="0.55000000000000004">
      <c r="A2" t="s">
        <v>218</v>
      </c>
      <c r="B2" t="s">
        <v>11</v>
      </c>
      <c r="C2">
        <v>12</v>
      </c>
      <c r="D2">
        <v>9000</v>
      </c>
      <c r="E2">
        <v>8.5</v>
      </c>
      <c r="F2">
        <v>0.98</v>
      </c>
      <c r="G2">
        <v>0.88</v>
      </c>
      <c r="H2" t="s">
        <v>219</v>
      </c>
      <c r="I2">
        <f>((D2*60*8*G2*2)/(E2*36*840*C2*2.202))*3</f>
        <v>3.358291545501034</v>
      </c>
      <c r="J2" t="s">
        <v>277</v>
      </c>
      <c r="K2">
        <f>L2*30</f>
        <v>281594.88</v>
      </c>
      <c r="L2">
        <v>9386.496000000001</v>
      </c>
      <c r="M2" t="s">
        <v>278</v>
      </c>
      <c r="N2">
        <f t="shared" ref="N2:N18" si="0">L2/I2</f>
        <v>2795.0211805090912</v>
      </c>
      <c r="O2" t="s">
        <v>220</v>
      </c>
      <c r="P2" s="5">
        <f>N2/240</f>
        <v>11.645921585454547</v>
      </c>
      <c r="Q2">
        <v>850</v>
      </c>
      <c r="R2" s="2">
        <v>0.85</v>
      </c>
      <c r="S2" s="2" t="s">
        <v>282</v>
      </c>
      <c r="T2">
        <f t="shared" ref="T2:T19" si="1">Q2*R2*8*60*1.09/(C2*840*2.202)*3</f>
        <v>51.091540158297647</v>
      </c>
      <c r="U2" t="s">
        <v>221</v>
      </c>
      <c r="V2" s="3">
        <f>L2/T2</f>
        <v>183.71918268499417</v>
      </c>
      <c r="W2" s="3" t="s">
        <v>280</v>
      </c>
      <c r="X2">
        <f>V2/72</f>
        <v>2.5516553150693633</v>
      </c>
    </row>
    <row r="3" spans="1:24" x14ac:dyDescent="0.55000000000000004">
      <c r="A3" t="s">
        <v>218</v>
      </c>
      <c r="B3" t="s">
        <v>11</v>
      </c>
      <c r="C3">
        <v>12</v>
      </c>
      <c r="D3">
        <v>6000</v>
      </c>
      <c r="E3">
        <v>8.5</v>
      </c>
      <c r="F3">
        <v>0.97</v>
      </c>
      <c r="G3">
        <v>0.85</v>
      </c>
      <c r="I3">
        <f t="shared" ref="I3:I19" si="2">((D3*60*8*G3*2)/(E3*36*840*C3*2.202))*3</f>
        <v>2.1625362224817266</v>
      </c>
      <c r="K3">
        <f t="shared" ref="K3:K19" si="3">L3*30</f>
        <v>0</v>
      </c>
      <c r="L3">
        <v>0</v>
      </c>
      <c r="N3">
        <f t="shared" si="0"/>
        <v>0</v>
      </c>
      <c r="O3" t="s">
        <v>220</v>
      </c>
      <c r="P3" s="5">
        <f t="shared" ref="P3:P18" si="4">N3/240</f>
        <v>0</v>
      </c>
      <c r="T3">
        <f>Q3*R3*8*60*1.09/(C3*840*2.202)*3</f>
        <v>0</v>
      </c>
      <c r="V3" s="3">
        <v>0</v>
      </c>
      <c r="W3" s="3"/>
      <c r="X3">
        <f t="shared" ref="X3:X19" si="5">V3/72</f>
        <v>0</v>
      </c>
    </row>
    <row r="4" spans="1:24" x14ac:dyDescent="0.55000000000000004">
      <c r="A4" t="s">
        <v>222</v>
      </c>
      <c r="B4" t="s">
        <v>223</v>
      </c>
      <c r="C4">
        <v>15</v>
      </c>
      <c r="D4">
        <v>10000</v>
      </c>
      <c r="E4">
        <v>11</v>
      </c>
      <c r="F4">
        <v>0.98</v>
      </c>
      <c r="G4">
        <v>0.9</v>
      </c>
      <c r="I4">
        <f t="shared" si="2"/>
        <v>2.35913042452552</v>
      </c>
      <c r="K4">
        <f t="shared" si="3"/>
        <v>42240</v>
      </c>
      <c r="L4">
        <v>1408</v>
      </c>
      <c r="N4">
        <f t="shared" si="0"/>
        <v>596.83007999999995</v>
      </c>
      <c r="O4" t="s">
        <v>220</v>
      </c>
      <c r="P4" s="5">
        <f t="shared" si="4"/>
        <v>2.4867919999999999</v>
      </c>
      <c r="Q4">
        <v>950</v>
      </c>
      <c r="R4" s="2">
        <v>0.85</v>
      </c>
      <c r="S4" s="2"/>
      <c r="T4">
        <f t="shared" si="1"/>
        <v>45.681847670948493</v>
      </c>
      <c r="V4" s="3">
        <f t="shared" ref="V4:V19" si="6">L4/T4</f>
        <v>30.821870650722865</v>
      </c>
      <c r="W4" s="3"/>
      <c r="X4">
        <f t="shared" si="5"/>
        <v>0.42808153681559535</v>
      </c>
    </row>
    <row r="5" spans="1:24" x14ac:dyDescent="0.55000000000000004">
      <c r="A5" t="s">
        <v>224</v>
      </c>
      <c r="B5" t="s">
        <v>11</v>
      </c>
      <c r="C5">
        <v>10</v>
      </c>
      <c r="D5">
        <v>8500</v>
      </c>
      <c r="E5">
        <v>8.5</v>
      </c>
      <c r="F5">
        <v>0.98</v>
      </c>
      <c r="G5">
        <v>0.87</v>
      </c>
      <c r="I5">
        <f t="shared" si="2"/>
        <v>3.7628130271182041</v>
      </c>
      <c r="K5">
        <f t="shared" si="3"/>
        <v>359040</v>
      </c>
      <c r="L5">
        <v>11968</v>
      </c>
      <c r="N5">
        <f t="shared" si="0"/>
        <v>3180.5991724137934</v>
      </c>
      <c r="O5" t="s">
        <v>220</v>
      </c>
      <c r="P5" s="5">
        <f t="shared" si="4"/>
        <v>13.252496551724139</v>
      </c>
      <c r="Q5">
        <v>850</v>
      </c>
      <c r="R5" s="2">
        <v>0.85</v>
      </c>
      <c r="S5" s="2"/>
      <c r="T5">
        <f t="shared" si="1"/>
        <v>61.309848189957179</v>
      </c>
      <c r="V5" s="3">
        <f t="shared" si="6"/>
        <v>195.2051807879115</v>
      </c>
      <c r="W5" s="3"/>
      <c r="X5">
        <f t="shared" si="5"/>
        <v>2.7111830664987711</v>
      </c>
    </row>
    <row r="6" spans="1:24" x14ac:dyDescent="0.55000000000000004">
      <c r="A6" t="s">
        <v>225</v>
      </c>
      <c r="B6" t="s">
        <v>223</v>
      </c>
      <c r="C6">
        <v>10</v>
      </c>
      <c r="D6">
        <v>7000</v>
      </c>
      <c r="E6">
        <v>8.5</v>
      </c>
      <c r="F6">
        <v>0.98</v>
      </c>
      <c r="G6">
        <v>0.87</v>
      </c>
      <c r="I6">
        <f t="shared" si="2"/>
        <v>3.0987871988032269</v>
      </c>
      <c r="K6">
        <f t="shared" si="3"/>
        <v>0</v>
      </c>
      <c r="L6">
        <v>0</v>
      </c>
      <c r="N6">
        <f t="shared" si="0"/>
        <v>0</v>
      </c>
      <c r="O6" t="s">
        <v>220</v>
      </c>
      <c r="P6" s="5">
        <f t="shared" si="4"/>
        <v>0</v>
      </c>
      <c r="Q6">
        <v>850</v>
      </c>
      <c r="R6" s="2">
        <v>0.85</v>
      </c>
      <c r="S6" s="2"/>
      <c r="T6">
        <f t="shared" si="1"/>
        <v>61.309848189957179</v>
      </c>
      <c r="V6" s="3">
        <f t="shared" si="6"/>
        <v>0</v>
      </c>
      <c r="W6" s="3"/>
      <c r="X6">
        <f t="shared" si="5"/>
        <v>0</v>
      </c>
    </row>
    <row r="7" spans="1:24" x14ac:dyDescent="0.55000000000000004">
      <c r="A7" t="s">
        <v>226</v>
      </c>
      <c r="B7" t="s">
        <v>223</v>
      </c>
      <c r="C7">
        <v>6</v>
      </c>
      <c r="D7">
        <v>6000</v>
      </c>
      <c r="E7">
        <v>6.5</v>
      </c>
      <c r="F7">
        <v>0.98</v>
      </c>
      <c r="G7">
        <v>0.8</v>
      </c>
      <c r="I7">
        <f t="shared" si="2"/>
        <v>5.3231660861088663</v>
      </c>
      <c r="K7">
        <f t="shared" si="3"/>
        <v>39454.227692307686</v>
      </c>
      <c r="L7">
        <v>1315.1409230769229</v>
      </c>
      <c r="N7">
        <f t="shared" si="0"/>
        <v>247.05990791999994</v>
      </c>
      <c r="O7" t="s">
        <v>220</v>
      </c>
      <c r="P7" s="5">
        <f t="shared" si="4"/>
        <v>1.0294162829999998</v>
      </c>
      <c r="Q7">
        <v>800</v>
      </c>
      <c r="R7" s="2">
        <v>0.85</v>
      </c>
      <c r="S7" s="2"/>
      <c r="T7">
        <f t="shared" si="1"/>
        <v>96.172310886207327</v>
      </c>
      <c r="V7" s="3">
        <f t="shared" si="6"/>
        <v>13.67483957657022</v>
      </c>
      <c r="W7" s="3"/>
      <c r="X7">
        <f t="shared" si="5"/>
        <v>0.18992832745236415</v>
      </c>
    </row>
    <row r="8" spans="1:24" x14ac:dyDescent="0.55000000000000004">
      <c r="A8" t="s">
        <v>227</v>
      </c>
      <c r="B8" t="s">
        <v>11</v>
      </c>
      <c r="C8">
        <v>4.5</v>
      </c>
      <c r="D8">
        <v>4000</v>
      </c>
      <c r="E8">
        <v>6.5</v>
      </c>
      <c r="F8">
        <v>0.98</v>
      </c>
      <c r="G8">
        <v>0.75</v>
      </c>
      <c r="I8">
        <f t="shared" si="2"/>
        <v>4.4359717384240547</v>
      </c>
      <c r="K8">
        <f t="shared" si="3"/>
        <v>99030</v>
      </c>
      <c r="L8">
        <v>3301</v>
      </c>
      <c r="N8">
        <f t="shared" si="0"/>
        <v>744.14360475000001</v>
      </c>
      <c r="O8" t="s">
        <v>220</v>
      </c>
      <c r="P8" s="5">
        <f t="shared" si="4"/>
        <v>3.1005983531250001</v>
      </c>
      <c r="Q8">
        <v>700</v>
      </c>
      <c r="R8" s="2">
        <v>0.85</v>
      </c>
      <c r="S8" s="2"/>
      <c r="T8">
        <f t="shared" si="1"/>
        <v>112.20102936724192</v>
      </c>
      <c r="V8" s="3">
        <f t="shared" si="6"/>
        <v>29.420407447382619</v>
      </c>
      <c r="W8" s="3"/>
      <c r="X8">
        <f t="shared" si="5"/>
        <v>0.40861677010253639</v>
      </c>
    </row>
    <row r="9" spans="1:24" x14ac:dyDescent="0.55000000000000004">
      <c r="A9" t="s">
        <v>228</v>
      </c>
      <c r="B9" t="s">
        <v>229</v>
      </c>
      <c r="C9">
        <v>3</v>
      </c>
      <c r="D9">
        <v>4000</v>
      </c>
      <c r="E9">
        <v>6.5</v>
      </c>
      <c r="F9">
        <v>0.98</v>
      </c>
      <c r="G9">
        <v>0.8</v>
      </c>
      <c r="I9">
        <f t="shared" si="2"/>
        <v>7.0975547814784878</v>
      </c>
      <c r="K9">
        <f t="shared" si="3"/>
        <v>0</v>
      </c>
      <c r="L9">
        <v>0</v>
      </c>
      <c r="N9">
        <f t="shared" si="0"/>
        <v>0</v>
      </c>
      <c r="O9" t="s">
        <v>220</v>
      </c>
      <c r="P9" s="5">
        <f t="shared" si="4"/>
        <v>0</v>
      </c>
      <c r="Q9">
        <v>850</v>
      </c>
      <c r="R9" s="2">
        <v>0.85</v>
      </c>
      <c r="S9" s="2"/>
      <c r="T9">
        <f t="shared" si="1"/>
        <v>204.36616063319059</v>
      </c>
      <c r="V9" s="3">
        <f t="shared" si="6"/>
        <v>0</v>
      </c>
      <c r="W9" s="3"/>
      <c r="X9">
        <f t="shared" si="5"/>
        <v>0</v>
      </c>
    </row>
    <row r="10" spans="1:24" x14ac:dyDescent="0.55000000000000004">
      <c r="A10" t="s">
        <v>228</v>
      </c>
      <c r="B10" t="s">
        <v>229</v>
      </c>
      <c r="C10">
        <v>3</v>
      </c>
      <c r="D10">
        <v>3500</v>
      </c>
      <c r="E10">
        <v>6.5</v>
      </c>
      <c r="F10">
        <v>0.98</v>
      </c>
      <c r="G10">
        <v>0.8</v>
      </c>
      <c r="I10">
        <f t="shared" si="2"/>
        <v>6.210360433793678</v>
      </c>
      <c r="K10">
        <f t="shared" si="3"/>
        <v>0</v>
      </c>
      <c r="L10">
        <v>0</v>
      </c>
      <c r="N10">
        <f t="shared" si="0"/>
        <v>0</v>
      </c>
      <c r="O10" t="s">
        <v>220</v>
      </c>
      <c r="P10" s="5">
        <f t="shared" si="4"/>
        <v>0</v>
      </c>
      <c r="Q10">
        <v>850</v>
      </c>
      <c r="R10" s="2">
        <v>0.85</v>
      </c>
      <c r="S10" s="2"/>
      <c r="T10">
        <f t="shared" si="1"/>
        <v>204.36616063319059</v>
      </c>
      <c r="V10" s="3">
        <f t="shared" si="6"/>
        <v>0</v>
      </c>
      <c r="W10" s="3"/>
      <c r="X10">
        <f t="shared" si="5"/>
        <v>0</v>
      </c>
    </row>
    <row r="11" spans="1:24" x14ac:dyDescent="0.55000000000000004">
      <c r="A11" t="s">
        <v>230</v>
      </c>
      <c r="B11" t="s">
        <v>11</v>
      </c>
      <c r="C11">
        <v>9.5</v>
      </c>
      <c r="D11">
        <v>6000</v>
      </c>
      <c r="E11">
        <v>6.5</v>
      </c>
      <c r="F11">
        <v>0.98</v>
      </c>
      <c r="G11">
        <v>0.85</v>
      </c>
      <c r="I11">
        <f t="shared" si="2"/>
        <v>3.5721246104151594</v>
      </c>
      <c r="K11">
        <f t="shared" si="3"/>
        <v>0</v>
      </c>
      <c r="L11">
        <v>0</v>
      </c>
      <c r="N11">
        <f t="shared" si="0"/>
        <v>0</v>
      </c>
      <c r="O11" t="s">
        <v>220</v>
      </c>
      <c r="P11" s="5">
        <f t="shared" si="4"/>
        <v>0</v>
      </c>
      <c r="Q11">
        <v>850</v>
      </c>
      <c r="R11" s="2">
        <v>0.85</v>
      </c>
      <c r="S11" s="2"/>
      <c r="T11">
        <f t="shared" si="1"/>
        <v>64.536682305218079</v>
      </c>
      <c r="V11" s="3">
        <f t="shared" si="6"/>
        <v>0</v>
      </c>
      <c r="W11" s="3"/>
      <c r="X11">
        <f t="shared" si="5"/>
        <v>0</v>
      </c>
    </row>
    <row r="12" spans="1:24" x14ac:dyDescent="0.55000000000000004">
      <c r="A12" t="s">
        <v>231</v>
      </c>
      <c r="B12" t="s">
        <v>11</v>
      </c>
      <c r="C12">
        <v>8.0898876404494384</v>
      </c>
      <c r="D12">
        <v>7000</v>
      </c>
      <c r="E12">
        <v>13</v>
      </c>
      <c r="F12">
        <v>0.98</v>
      </c>
      <c r="G12">
        <v>0.85</v>
      </c>
      <c r="I12">
        <f t="shared" si="2"/>
        <v>2.4469467021692273</v>
      </c>
      <c r="K12">
        <f t="shared" si="3"/>
        <v>0</v>
      </c>
      <c r="L12">
        <v>0</v>
      </c>
      <c r="N12">
        <f t="shared" si="0"/>
        <v>0</v>
      </c>
      <c r="O12" t="s">
        <v>220</v>
      </c>
      <c r="P12" s="5">
        <f t="shared" si="4"/>
        <v>0</v>
      </c>
      <c r="Q12">
        <v>700</v>
      </c>
      <c r="R12" s="2">
        <v>0.85</v>
      </c>
      <c r="S12" s="2"/>
      <c r="T12">
        <f t="shared" si="1"/>
        <v>62.411822585528306</v>
      </c>
      <c r="V12" s="3">
        <f t="shared" si="6"/>
        <v>0</v>
      </c>
      <c r="W12" s="3"/>
      <c r="X12">
        <f t="shared" si="5"/>
        <v>0</v>
      </c>
    </row>
    <row r="13" spans="1:24" x14ac:dyDescent="0.55000000000000004">
      <c r="A13" t="s">
        <v>232</v>
      </c>
      <c r="B13" t="s">
        <v>11</v>
      </c>
      <c r="C13">
        <v>13.333333333333334</v>
      </c>
      <c r="D13">
        <v>8000</v>
      </c>
      <c r="E13">
        <v>15</v>
      </c>
      <c r="F13">
        <v>0.98</v>
      </c>
      <c r="G13">
        <v>0.85</v>
      </c>
      <c r="I13">
        <f t="shared" si="2"/>
        <v>1.4705246312875739</v>
      </c>
      <c r="K13">
        <f t="shared" si="3"/>
        <v>69690</v>
      </c>
      <c r="L13">
        <v>2323</v>
      </c>
      <c r="N13">
        <f t="shared" si="0"/>
        <v>1579.7083235294119</v>
      </c>
      <c r="O13" t="s">
        <v>220</v>
      </c>
      <c r="P13" s="5">
        <f t="shared" si="4"/>
        <v>6.5821180147058831</v>
      </c>
      <c r="Q13">
        <v>850</v>
      </c>
      <c r="R13" s="2">
        <v>0.85</v>
      </c>
      <c r="S13" s="2"/>
      <c r="T13">
        <f t="shared" si="1"/>
        <v>45.982386142467888</v>
      </c>
      <c r="V13" s="3">
        <f t="shared" si="6"/>
        <v>50.519344359438321</v>
      </c>
      <c r="W13" s="3"/>
      <c r="X13">
        <f t="shared" si="5"/>
        <v>0.70165756054775441</v>
      </c>
    </row>
    <row r="14" spans="1:24" x14ac:dyDescent="0.55000000000000004">
      <c r="A14" t="s">
        <v>233</v>
      </c>
      <c r="B14" t="s">
        <v>11</v>
      </c>
      <c r="C14">
        <v>13.333333333333334</v>
      </c>
      <c r="D14">
        <v>8000</v>
      </c>
      <c r="E14">
        <v>19</v>
      </c>
      <c r="F14">
        <v>0.98</v>
      </c>
      <c r="G14">
        <v>0.9</v>
      </c>
      <c r="I14">
        <f t="shared" si="2"/>
        <v>1.2292311159369813</v>
      </c>
      <c r="K14">
        <f t="shared" si="3"/>
        <v>128610</v>
      </c>
      <c r="L14">
        <v>4287</v>
      </c>
      <c r="N14">
        <f t="shared" si="0"/>
        <v>3487.5459500000002</v>
      </c>
      <c r="O14" t="s">
        <v>220</v>
      </c>
      <c r="P14" s="5">
        <f t="shared" si="4"/>
        <v>14.531441458333335</v>
      </c>
      <c r="Q14">
        <v>850</v>
      </c>
      <c r="R14" s="2">
        <v>0.85</v>
      </c>
      <c r="S14" s="2"/>
      <c r="T14">
        <f t="shared" si="1"/>
        <v>45.982386142467888</v>
      </c>
      <c r="V14" s="3">
        <f t="shared" si="6"/>
        <v>93.231351385670294</v>
      </c>
      <c r="W14" s="3"/>
      <c r="X14">
        <f t="shared" si="5"/>
        <v>1.2948798803565318</v>
      </c>
    </row>
    <row r="15" spans="1:24" x14ac:dyDescent="0.55000000000000004">
      <c r="A15" t="s">
        <v>234</v>
      </c>
      <c r="B15" t="s">
        <v>11</v>
      </c>
      <c r="C15">
        <v>11.182795698924732</v>
      </c>
      <c r="D15">
        <v>8500</v>
      </c>
      <c r="E15">
        <v>13</v>
      </c>
      <c r="F15">
        <v>0.98</v>
      </c>
      <c r="G15">
        <v>0.9</v>
      </c>
      <c r="I15">
        <f t="shared" si="2"/>
        <v>2.2759414134387934</v>
      </c>
      <c r="K15">
        <f t="shared" si="3"/>
        <v>91530</v>
      </c>
      <c r="L15">
        <v>3051</v>
      </c>
      <c r="N15">
        <f t="shared" si="0"/>
        <v>1340.5441730550285</v>
      </c>
      <c r="O15" t="s">
        <v>220</v>
      </c>
      <c r="P15" s="5">
        <f t="shared" si="4"/>
        <v>5.5856007210626188</v>
      </c>
      <c r="Q15">
        <v>850</v>
      </c>
      <c r="R15" s="2">
        <v>0.85</v>
      </c>
      <c r="S15" s="2"/>
      <c r="T15">
        <f t="shared" si="1"/>
        <v>54.825152708327096</v>
      </c>
      <c r="V15" s="3">
        <f t="shared" si="6"/>
        <v>55.649639796381273</v>
      </c>
      <c r="W15" s="3"/>
      <c r="X15">
        <f t="shared" si="5"/>
        <v>0.77291166383862875</v>
      </c>
    </row>
    <row r="16" spans="1:24" x14ac:dyDescent="0.55000000000000004">
      <c r="A16" t="s">
        <v>235</v>
      </c>
      <c r="B16" t="s">
        <v>11</v>
      </c>
      <c r="C16">
        <v>11.182795698924732</v>
      </c>
      <c r="D16">
        <v>8500</v>
      </c>
      <c r="E16">
        <v>13</v>
      </c>
      <c r="F16">
        <v>0.98</v>
      </c>
      <c r="G16">
        <v>0.9</v>
      </c>
      <c r="I16">
        <f t="shared" si="2"/>
        <v>2.2759414134387934</v>
      </c>
      <c r="K16">
        <f t="shared" si="3"/>
        <v>130740</v>
      </c>
      <c r="L16">
        <v>4358</v>
      </c>
      <c r="N16">
        <f t="shared" si="0"/>
        <v>1914.8120308665402</v>
      </c>
      <c r="O16" t="s">
        <v>220</v>
      </c>
      <c r="P16" s="5">
        <f t="shared" si="4"/>
        <v>7.9783834619439178</v>
      </c>
      <c r="Q16">
        <v>850</v>
      </c>
      <c r="R16" s="2">
        <v>0.85</v>
      </c>
      <c r="S16" s="2"/>
      <c r="T16">
        <f t="shared" si="1"/>
        <v>54.825152708327096</v>
      </c>
      <c r="V16" s="3">
        <f t="shared" si="6"/>
        <v>79.489062678672425</v>
      </c>
      <c r="W16" s="3"/>
      <c r="X16">
        <f t="shared" si="5"/>
        <v>1.1040147594260059</v>
      </c>
    </row>
    <row r="17" spans="1:24" x14ac:dyDescent="0.55000000000000004">
      <c r="A17" t="s">
        <v>236</v>
      </c>
      <c r="B17" t="s">
        <v>11</v>
      </c>
      <c r="C17">
        <v>11.182795698924732</v>
      </c>
      <c r="D17">
        <v>7000</v>
      </c>
      <c r="E17">
        <v>13</v>
      </c>
      <c r="F17">
        <v>0.98</v>
      </c>
      <c r="G17">
        <v>0.9</v>
      </c>
      <c r="I17">
        <f t="shared" si="2"/>
        <v>1.8743046934201826</v>
      </c>
      <c r="K17">
        <f t="shared" si="3"/>
        <v>0</v>
      </c>
      <c r="L17">
        <v>0</v>
      </c>
      <c r="N17">
        <f t="shared" si="0"/>
        <v>0</v>
      </c>
      <c r="O17" t="s">
        <v>220</v>
      </c>
      <c r="P17" s="5">
        <f t="shared" si="4"/>
        <v>0</v>
      </c>
      <c r="Q17">
        <v>850</v>
      </c>
      <c r="R17" s="2">
        <v>0.85</v>
      </c>
      <c r="S17" s="2"/>
      <c r="T17">
        <f t="shared" si="1"/>
        <v>54.825152708327096</v>
      </c>
      <c r="V17" s="3">
        <f t="shared" si="6"/>
        <v>0</v>
      </c>
      <c r="W17" s="3"/>
      <c r="X17">
        <f t="shared" si="5"/>
        <v>0</v>
      </c>
    </row>
    <row r="18" spans="1:24" x14ac:dyDescent="0.55000000000000004">
      <c r="A18" t="s">
        <v>237</v>
      </c>
      <c r="B18" t="s">
        <v>11</v>
      </c>
      <c r="C18">
        <v>11.182795698924732</v>
      </c>
      <c r="D18">
        <v>7000</v>
      </c>
      <c r="E18">
        <v>13</v>
      </c>
      <c r="F18">
        <v>0.98</v>
      </c>
      <c r="G18">
        <v>0.9</v>
      </c>
      <c r="I18">
        <f t="shared" si="2"/>
        <v>1.8743046934201826</v>
      </c>
      <c r="K18">
        <f t="shared" si="3"/>
        <v>0</v>
      </c>
      <c r="L18">
        <v>0</v>
      </c>
      <c r="N18">
        <f t="shared" si="0"/>
        <v>0</v>
      </c>
      <c r="O18" t="s">
        <v>220</v>
      </c>
      <c r="P18" s="5">
        <f t="shared" si="4"/>
        <v>0</v>
      </c>
      <c r="Q18">
        <v>850</v>
      </c>
      <c r="R18" s="2">
        <v>0.85</v>
      </c>
      <c r="S18" s="2"/>
      <c r="T18">
        <f t="shared" si="1"/>
        <v>54.825152708327096</v>
      </c>
      <c r="V18" s="3">
        <f t="shared" si="6"/>
        <v>0</v>
      </c>
      <c r="W18" s="3"/>
      <c r="X18">
        <f t="shared" si="5"/>
        <v>0</v>
      </c>
    </row>
    <row r="19" spans="1:24" x14ac:dyDescent="0.55000000000000004">
      <c r="A19" t="s">
        <v>238</v>
      </c>
      <c r="B19" t="s">
        <v>229</v>
      </c>
      <c r="C19">
        <v>0.75</v>
      </c>
      <c r="D19">
        <v>2000</v>
      </c>
      <c r="E19">
        <v>2.8</v>
      </c>
      <c r="F19">
        <v>0.98</v>
      </c>
      <c r="G19">
        <v>0.7</v>
      </c>
      <c r="I19">
        <f t="shared" si="2"/>
        <v>28.833816299756357</v>
      </c>
      <c r="K19">
        <f t="shared" si="3"/>
        <v>81413.485714285736</v>
      </c>
      <c r="L19">
        <v>2713.7828571428577</v>
      </c>
      <c r="M19" t="s">
        <v>281</v>
      </c>
      <c r="N19">
        <f>L19/I19</f>
        <v>94.118060160000013</v>
      </c>
      <c r="O19" t="s">
        <v>239</v>
      </c>
      <c r="P19" s="5">
        <f>N19/80</f>
        <v>1.1764757520000002</v>
      </c>
      <c r="Q19">
        <v>400</v>
      </c>
      <c r="R19" s="2">
        <v>0.7</v>
      </c>
      <c r="S19" s="2"/>
      <c r="T19">
        <f t="shared" si="1"/>
        <v>316.80290644868302</v>
      </c>
      <c r="V19" s="3">
        <f t="shared" si="6"/>
        <v>8.5661551769331599</v>
      </c>
      <c r="W19" s="3"/>
      <c r="X19">
        <f t="shared" si="5"/>
        <v>0.118974377457405</v>
      </c>
    </row>
    <row r="22" spans="1:24" x14ac:dyDescent="0.55000000000000004">
      <c r="A22" t="s">
        <v>0</v>
      </c>
      <c r="B22" t="s">
        <v>1</v>
      </c>
      <c r="C22" t="s">
        <v>254</v>
      </c>
      <c r="D22" t="s">
        <v>2</v>
      </c>
      <c r="E22" t="s">
        <v>285</v>
      </c>
      <c r="F22" t="s">
        <v>3</v>
      </c>
      <c r="G22" t="s">
        <v>4</v>
      </c>
      <c r="H22" t="s">
        <v>44</v>
      </c>
      <c r="I22" t="s">
        <v>45</v>
      </c>
      <c r="J22" t="s">
        <v>270</v>
      </c>
      <c r="K22" t="s">
        <v>269</v>
      </c>
      <c r="L22" t="s">
        <v>5</v>
      </c>
      <c r="M22" t="s">
        <v>6</v>
      </c>
      <c r="N22" t="s">
        <v>7</v>
      </c>
      <c r="O22" t="s">
        <v>8</v>
      </c>
      <c r="P22" t="s">
        <v>9</v>
      </c>
      <c r="Q22" t="s">
        <v>10</v>
      </c>
    </row>
    <row r="23" spans="1:24" x14ac:dyDescent="0.55000000000000004">
      <c r="A23" t="s">
        <v>11</v>
      </c>
      <c r="B23" t="s">
        <v>12</v>
      </c>
      <c r="C23" t="s">
        <v>123</v>
      </c>
      <c r="D23">
        <v>1</v>
      </c>
      <c r="E23" t="s">
        <v>124</v>
      </c>
      <c r="F23" t="s">
        <v>125</v>
      </c>
      <c r="I23" t="s">
        <v>263</v>
      </c>
      <c r="J23">
        <v>62</v>
      </c>
      <c r="K23">
        <f>J23</f>
        <v>62</v>
      </c>
      <c r="L23">
        <v>0</v>
      </c>
      <c r="M23">
        <v>21</v>
      </c>
      <c r="N23">
        <v>21</v>
      </c>
      <c r="O23">
        <v>20</v>
      </c>
      <c r="P23">
        <v>0</v>
      </c>
    </row>
    <row r="24" spans="1:24" x14ac:dyDescent="0.55000000000000004">
      <c r="A24" t="s">
        <v>11</v>
      </c>
      <c r="B24" t="s">
        <v>12</v>
      </c>
      <c r="C24" t="s">
        <v>123</v>
      </c>
      <c r="D24">
        <v>2</v>
      </c>
      <c r="E24" t="s">
        <v>126</v>
      </c>
      <c r="F24" t="s">
        <v>125</v>
      </c>
      <c r="I24" t="s">
        <v>264</v>
      </c>
      <c r="J24">
        <v>2</v>
      </c>
      <c r="K24">
        <f t="shared" ref="K24:K37" si="7">J24</f>
        <v>2</v>
      </c>
      <c r="L24">
        <v>0</v>
      </c>
      <c r="M24">
        <v>1</v>
      </c>
      <c r="N24">
        <v>1</v>
      </c>
      <c r="O24">
        <v>0</v>
      </c>
      <c r="P24">
        <v>0</v>
      </c>
    </row>
    <row r="25" spans="1:24" x14ac:dyDescent="0.55000000000000004">
      <c r="A25" t="s">
        <v>11</v>
      </c>
      <c r="B25" t="s">
        <v>12</v>
      </c>
      <c r="C25" t="s">
        <v>123</v>
      </c>
      <c r="D25">
        <v>3</v>
      </c>
      <c r="E25" t="s">
        <v>123</v>
      </c>
      <c r="F25" t="s">
        <v>127</v>
      </c>
      <c r="I25" t="s">
        <v>265</v>
      </c>
      <c r="J25">
        <v>33</v>
      </c>
      <c r="K25">
        <f t="shared" si="7"/>
        <v>33</v>
      </c>
      <c r="L25">
        <v>0</v>
      </c>
      <c r="M25">
        <v>12</v>
      </c>
      <c r="N25">
        <v>12</v>
      </c>
      <c r="O25">
        <v>12</v>
      </c>
      <c r="P25">
        <v>0</v>
      </c>
    </row>
    <row r="26" spans="1:24" x14ac:dyDescent="0.55000000000000004">
      <c r="A26" t="s">
        <v>11</v>
      </c>
      <c r="B26" t="s">
        <v>12</v>
      </c>
      <c r="C26" t="s">
        <v>123</v>
      </c>
      <c r="D26">
        <v>4</v>
      </c>
      <c r="E26" t="s">
        <v>123</v>
      </c>
      <c r="F26" t="s">
        <v>128</v>
      </c>
      <c r="I26" t="s">
        <v>266</v>
      </c>
      <c r="J26">
        <v>51</v>
      </c>
      <c r="K26">
        <f t="shared" si="7"/>
        <v>51</v>
      </c>
      <c r="L26">
        <v>0</v>
      </c>
      <c r="M26">
        <v>17</v>
      </c>
      <c r="N26">
        <v>17</v>
      </c>
      <c r="O26">
        <v>17</v>
      </c>
      <c r="P26">
        <v>0</v>
      </c>
    </row>
    <row r="27" spans="1:24" x14ac:dyDescent="0.55000000000000004">
      <c r="A27" t="s">
        <v>11</v>
      </c>
      <c r="B27" t="s">
        <v>12</v>
      </c>
      <c r="C27" t="s">
        <v>123</v>
      </c>
      <c r="D27">
        <v>5</v>
      </c>
      <c r="E27" t="s">
        <v>129</v>
      </c>
      <c r="F27" t="s">
        <v>127</v>
      </c>
      <c r="I27" t="s">
        <v>147</v>
      </c>
      <c r="J27">
        <v>6</v>
      </c>
      <c r="K27">
        <f t="shared" si="7"/>
        <v>6</v>
      </c>
      <c r="L27">
        <v>0</v>
      </c>
      <c r="M27">
        <v>2</v>
      </c>
      <c r="N27">
        <v>2</v>
      </c>
      <c r="O27">
        <v>2</v>
      </c>
      <c r="P27">
        <v>0</v>
      </c>
    </row>
    <row r="28" spans="1:24" x14ac:dyDescent="0.55000000000000004">
      <c r="A28" t="s">
        <v>11</v>
      </c>
      <c r="B28" t="s">
        <v>12</v>
      </c>
      <c r="C28" t="s">
        <v>123</v>
      </c>
      <c r="D28">
        <v>6</v>
      </c>
      <c r="E28" t="s">
        <v>130</v>
      </c>
      <c r="F28" t="s">
        <v>127</v>
      </c>
      <c r="I28" t="s">
        <v>147</v>
      </c>
      <c r="J28">
        <v>6</v>
      </c>
      <c r="K28">
        <f t="shared" si="7"/>
        <v>6</v>
      </c>
      <c r="L28">
        <v>0</v>
      </c>
      <c r="M28">
        <v>2</v>
      </c>
      <c r="N28">
        <v>2</v>
      </c>
      <c r="O28">
        <v>2</v>
      </c>
      <c r="P28">
        <v>0</v>
      </c>
    </row>
    <row r="29" spans="1:24" x14ac:dyDescent="0.55000000000000004">
      <c r="A29" t="s">
        <v>11</v>
      </c>
      <c r="B29" t="s">
        <v>12</v>
      </c>
      <c r="C29" t="s">
        <v>123</v>
      </c>
      <c r="D29">
        <v>7</v>
      </c>
      <c r="E29" t="s">
        <v>29</v>
      </c>
      <c r="F29" t="s">
        <v>29</v>
      </c>
      <c r="I29" t="s">
        <v>155</v>
      </c>
      <c r="J29">
        <v>3</v>
      </c>
      <c r="K29">
        <f t="shared" si="7"/>
        <v>3</v>
      </c>
      <c r="L29">
        <v>0</v>
      </c>
      <c r="M29">
        <v>1</v>
      </c>
      <c r="N29">
        <v>1</v>
      </c>
      <c r="O29">
        <v>1</v>
      </c>
      <c r="P29">
        <v>0</v>
      </c>
    </row>
    <row r="30" spans="1:24" x14ac:dyDescent="0.55000000000000004">
      <c r="A30" t="s">
        <v>11</v>
      </c>
      <c r="B30" t="s">
        <v>12</v>
      </c>
      <c r="C30" t="s">
        <v>123</v>
      </c>
      <c r="D30">
        <v>8</v>
      </c>
      <c r="E30" t="s">
        <v>131</v>
      </c>
      <c r="F30" t="s">
        <v>106</v>
      </c>
      <c r="I30" t="s">
        <v>155</v>
      </c>
      <c r="J30">
        <v>3</v>
      </c>
      <c r="K30">
        <f t="shared" si="7"/>
        <v>3</v>
      </c>
      <c r="L30">
        <v>0</v>
      </c>
      <c r="M30">
        <v>1</v>
      </c>
      <c r="N30">
        <v>1</v>
      </c>
      <c r="O30">
        <v>1</v>
      </c>
      <c r="P30">
        <v>0</v>
      </c>
    </row>
    <row r="31" spans="1:24" x14ac:dyDescent="0.55000000000000004">
      <c r="A31" t="s">
        <v>11</v>
      </c>
      <c r="B31" t="s">
        <v>12</v>
      </c>
      <c r="C31" t="s">
        <v>123</v>
      </c>
      <c r="D31">
        <v>9</v>
      </c>
      <c r="E31" t="s">
        <v>132</v>
      </c>
      <c r="F31" t="s">
        <v>133</v>
      </c>
      <c r="I31" t="s">
        <v>147</v>
      </c>
      <c r="J31">
        <v>6</v>
      </c>
      <c r="K31">
        <f t="shared" si="7"/>
        <v>6</v>
      </c>
      <c r="L31">
        <v>0</v>
      </c>
      <c r="M31">
        <v>2</v>
      </c>
      <c r="N31">
        <v>2</v>
      </c>
      <c r="O31">
        <v>2</v>
      </c>
      <c r="P31">
        <v>0</v>
      </c>
    </row>
    <row r="32" spans="1:24" x14ac:dyDescent="0.55000000000000004">
      <c r="A32" t="s">
        <v>11</v>
      </c>
      <c r="B32" t="s">
        <v>12</v>
      </c>
      <c r="C32" t="s">
        <v>123</v>
      </c>
      <c r="D32">
        <v>10</v>
      </c>
      <c r="E32" t="s">
        <v>134</v>
      </c>
      <c r="I32" t="s">
        <v>155</v>
      </c>
      <c r="J32">
        <v>3</v>
      </c>
      <c r="K32">
        <f t="shared" si="7"/>
        <v>3</v>
      </c>
      <c r="L32">
        <v>0</v>
      </c>
      <c r="M32">
        <v>1</v>
      </c>
      <c r="N32">
        <v>1</v>
      </c>
      <c r="O32">
        <v>1</v>
      </c>
      <c r="P32">
        <v>0</v>
      </c>
    </row>
    <row r="33" spans="1:16" x14ac:dyDescent="0.55000000000000004">
      <c r="A33" t="s">
        <v>11</v>
      </c>
      <c r="B33" t="s">
        <v>12</v>
      </c>
      <c r="C33" t="s">
        <v>123</v>
      </c>
      <c r="D33">
        <v>11</v>
      </c>
      <c r="E33" t="s">
        <v>135</v>
      </c>
      <c r="I33" t="s">
        <v>253</v>
      </c>
      <c r="J33">
        <v>1</v>
      </c>
      <c r="K33">
        <f t="shared" si="7"/>
        <v>1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 x14ac:dyDescent="0.55000000000000004">
      <c r="A34" t="s">
        <v>11</v>
      </c>
      <c r="B34" t="s">
        <v>12</v>
      </c>
      <c r="C34" t="s">
        <v>123</v>
      </c>
      <c r="D34">
        <v>12</v>
      </c>
      <c r="E34" t="s">
        <v>112</v>
      </c>
      <c r="I34" t="s">
        <v>140</v>
      </c>
      <c r="J34">
        <v>12</v>
      </c>
      <c r="K34">
        <f t="shared" si="7"/>
        <v>12</v>
      </c>
      <c r="L34">
        <v>0</v>
      </c>
      <c r="M34">
        <v>4</v>
      </c>
      <c r="N34">
        <v>4</v>
      </c>
      <c r="O34">
        <v>4</v>
      </c>
      <c r="P34">
        <v>0</v>
      </c>
    </row>
    <row r="35" spans="1:16" x14ac:dyDescent="0.55000000000000004">
      <c r="A35" t="s">
        <v>11</v>
      </c>
      <c r="B35" t="s">
        <v>12</v>
      </c>
      <c r="C35" t="s">
        <v>123</v>
      </c>
      <c r="D35">
        <v>13</v>
      </c>
      <c r="E35" t="s">
        <v>136</v>
      </c>
      <c r="F35" t="s">
        <v>29</v>
      </c>
      <c r="I35" t="s">
        <v>271</v>
      </c>
      <c r="J35">
        <v>0</v>
      </c>
      <c r="K35">
        <f t="shared" si="7"/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55000000000000004">
      <c r="A36" t="s">
        <v>11</v>
      </c>
      <c r="B36" t="s">
        <v>12</v>
      </c>
      <c r="C36" t="s">
        <v>123</v>
      </c>
      <c r="D36">
        <v>15</v>
      </c>
      <c r="E36" t="s">
        <v>157</v>
      </c>
      <c r="F36" t="s">
        <v>157</v>
      </c>
      <c r="I36" t="s">
        <v>253</v>
      </c>
      <c r="J36">
        <v>1</v>
      </c>
      <c r="K36">
        <f t="shared" si="7"/>
        <v>1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 x14ac:dyDescent="0.55000000000000004">
      <c r="A37" t="s">
        <v>11</v>
      </c>
      <c r="B37" t="s">
        <v>12</v>
      </c>
      <c r="C37" t="s">
        <v>123</v>
      </c>
      <c r="D37">
        <v>16</v>
      </c>
      <c r="E37" t="s">
        <v>31</v>
      </c>
      <c r="F37" t="s">
        <v>42</v>
      </c>
      <c r="I37" t="s">
        <v>147</v>
      </c>
      <c r="J37">
        <v>6</v>
      </c>
      <c r="K37">
        <f t="shared" si="7"/>
        <v>6</v>
      </c>
      <c r="L37">
        <v>0</v>
      </c>
      <c r="M37">
        <v>2</v>
      </c>
      <c r="N37">
        <v>2</v>
      </c>
      <c r="O37">
        <v>2</v>
      </c>
      <c r="P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Spinning</vt:lpstr>
      <vt:lpstr>TFO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Sahith Thadimudupula</cp:lastModifiedBy>
  <dcterms:created xsi:type="dcterms:W3CDTF">2026-03-31T14:59:33Z</dcterms:created>
  <dcterms:modified xsi:type="dcterms:W3CDTF">2026-04-24T17:24:04Z</dcterms:modified>
</cp:coreProperties>
</file>